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7"/>
  <workbookPr/>
  <mc:AlternateContent xmlns:mc="http://schemas.openxmlformats.org/markup-compatibility/2006">
    <mc:Choice Requires="x15">
      <x15ac:absPath xmlns:x15ac="http://schemas.microsoft.com/office/spreadsheetml/2010/11/ac" url="https://unsw.sharepoint.com/sites/ECA-EVcharging/Shared Documents/General/Financial_model/"/>
    </mc:Choice>
  </mc:AlternateContent>
  <xr:revisionPtr revIDLastSave="1901" documentId="11_F25DC773A252ABDACC1048B6091F6AD85ADE58EC" xr6:coauthVersionLast="47" xr6:coauthVersionMax="47" xr10:uidLastSave="{F1CE1314-367F-4C92-8CE7-D6C1B6E360BB}"/>
  <bookViews>
    <workbookView xWindow="-28920" yWindow="-1995" windowWidth="29040" windowHeight="17520" xr2:uid="{00000000-000D-0000-FFFF-FFFF00000000}"/>
  </bookViews>
  <sheets>
    <sheet name="IRR inputs &amp; outputs" sheetId="1" r:id="rId1"/>
    <sheet name="Waterfall - separated network" sheetId="18" r:id="rId2"/>
    <sheet name="Waterfall - integrated network" sheetId="17" r:id="rId3"/>
    <sheet name="5% utilisation" sheetId="2" r:id="rId4"/>
    <sheet name="7.5% utilisation" sheetId="15" r:id="rId5"/>
    <sheet name="10% utilisation" sheetId="3" r:id="rId6"/>
    <sheet name="12.5% utilisation" sheetId="13" r:id="rId7"/>
    <sheet name="15% utilisation" sheetId="6" r:id="rId8"/>
    <sheet name="17.5% utilisation" sheetId="12" r:id="rId9"/>
    <sheet name="20% utilisation" sheetId="4" r:id="rId10"/>
    <sheet name="22.5% utilisation" sheetId="14" r:id="rId11"/>
    <sheet name="25% utilisation" sheetId="5" r:id="rId12"/>
    <sheet name="30% utilisation" sheetId="8" r:id="rId13"/>
    <sheet name="35% utilisation" sheetId="9" r:id="rId14"/>
    <sheet name="40% utilisation" sheetId="7" r:id="rId15"/>
    <sheet name="45% utilisation" sheetId="11" r:id="rId16"/>
    <sheet name="50% utilisation" sheetId="10" r:id="rId17"/>
  </sheets>
  <externalReferences>
    <externalReference r:id="rId18"/>
  </externalReferences>
  <definedNames>
    <definedName name="_xlchart.v1.0" hidden="1">'Waterfall - separated network'!$A$4:$A$8</definedName>
    <definedName name="_xlchart.v1.1" hidden="1">'Waterfall - separated network'!$B$4:$B$8</definedName>
    <definedName name="_xlchart.v1.2" hidden="1">'Waterfall - separated network'!$A$3:$A$8</definedName>
    <definedName name="_xlchart.v1.3" hidden="1">'Waterfall - separated network'!$B$3:$B$8</definedName>
    <definedName name="_xlchart.v1.4" hidden="1">'Waterfall - integrated network'!$A$4:$A$8</definedName>
    <definedName name="_xlchart.v1.5" hidden="1">'Waterfall - integrated network'!$B$4:$B$8</definedName>
    <definedName name="_xlchart.v1.6" hidden="1">'Waterfall - integrated network'!$A$3:$A$8</definedName>
    <definedName name="_xlchart.v1.7" hidden="1">'Waterfall - integrated network'!$B$3:$B$8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8" l="1"/>
  <c r="B3" i="18"/>
  <c r="B4" i="17"/>
  <c r="B3" i="17"/>
  <c r="B6" i="1"/>
  <c r="L17" i="10"/>
  <c r="K17" i="10"/>
  <c r="J17" i="10"/>
  <c r="I17" i="10"/>
  <c r="H17" i="10"/>
  <c r="G17" i="10"/>
  <c r="F17" i="10"/>
  <c r="E17" i="10"/>
  <c r="D17" i="10"/>
  <c r="C17" i="10"/>
  <c r="L17" i="11"/>
  <c r="K17" i="11"/>
  <c r="J17" i="11"/>
  <c r="I17" i="11"/>
  <c r="H17" i="11"/>
  <c r="G17" i="11"/>
  <c r="F17" i="11"/>
  <c r="E17" i="11"/>
  <c r="D17" i="11"/>
  <c r="C17" i="11"/>
  <c r="L17" i="7"/>
  <c r="K17" i="7"/>
  <c r="J17" i="7"/>
  <c r="I17" i="7"/>
  <c r="H17" i="7"/>
  <c r="G17" i="7"/>
  <c r="F17" i="7"/>
  <c r="E17" i="7"/>
  <c r="D17" i="7"/>
  <c r="C17" i="7"/>
  <c r="L17" i="9"/>
  <c r="K17" i="9"/>
  <c r="J17" i="9"/>
  <c r="I17" i="9"/>
  <c r="H17" i="9"/>
  <c r="G17" i="9"/>
  <c r="F17" i="9"/>
  <c r="E17" i="9"/>
  <c r="D17" i="9"/>
  <c r="C17" i="9"/>
  <c r="L17" i="8"/>
  <c r="K17" i="8"/>
  <c r="J17" i="8"/>
  <c r="I17" i="8"/>
  <c r="H17" i="8"/>
  <c r="G17" i="8"/>
  <c r="F17" i="8"/>
  <c r="E17" i="8"/>
  <c r="D17" i="8"/>
  <c r="C17" i="8"/>
  <c r="L17" i="5"/>
  <c r="K17" i="5"/>
  <c r="J17" i="5"/>
  <c r="I17" i="5"/>
  <c r="H17" i="5"/>
  <c r="G17" i="5"/>
  <c r="F17" i="5"/>
  <c r="E17" i="5"/>
  <c r="D17" i="5"/>
  <c r="C17" i="5"/>
  <c r="L17" i="14"/>
  <c r="K17" i="14"/>
  <c r="J17" i="14"/>
  <c r="I17" i="14"/>
  <c r="H17" i="14"/>
  <c r="G17" i="14"/>
  <c r="F17" i="14"/>
  <c r="E17" i="14"/>
  <c r="D17" i="14"/>
  <c r="C17" i="14"/>
  <c r="L17" i="4"/>
  <c r="K17" i="4"/>
  <c r="J17" i="4"/>
  <c r="I17" i="4"/>
  <c r="H17" i="4"/>
  <c r="G17" i="4"/>
  <c r="F17" i="4"/>
  <c r="E17" i="4"/>
  <c r="D17" i="4"/>
  <c r="C17" i="4"/>
  <c r="L17" i="12"/>
  <c r="K17" i="12"/>
  <c r="J17" i="12"/>
  <c r="I17" i="12"/>
  <c r="H17" i="12"/>
  <c r="G17" i="12"/>
  <c r="F17" i="12"/>
  <c r="E17" i="12"/>
  <c r="D17" i="12"/>
  <c r="C17" i="12"/>
  <c r="L17" i="6"/>
  <c r="K17" i="6"/>
  <c r="J17" i="6"/>
  <c r="I17" i="6"/>
  <c r="H17" i="6"/>
  <c r="G17" i="6"/>
  <c r="F17" i="6"/>
  <c r="E17" i="6"/>
  <c r="D17" i="6"/>
  <c r="C17" i="6"/>
  <c r="L17" i="13"/>
  <c r="K17" i="13"/>
  <c r="J17" i="13"/>
  <c r="I17" i="13"/>
  <c r="H17" i="13"/>
  <c r="G17" i="13"/>
  <c r="F17" i="13"/>
  <c r="E17" i="13"/>
  <c r="D17" i="13"/>
  <c r="C17" i="13"/>
  <c r="L17" i="3"/>
  <c r="K17" i="3"/>
  <c r="J17" i="3"/>
  <c r="I17" i="3"/>
  <c r="H17" i="3"/>
  <c r="G17" i="3"/>
  <c r="F17" i="3"/>
  <c r="E17" i="3"/>
  <c r="D17" i="3"/>
  <c r="C17" i="3"/>
  <c r="L17" i="15"/>
  <c r="K17" i="15"/>
  <c r="J17" i="15"/>
  <c r="I17" i="15"/>
  <c r="H17" i="15"/>
  <c r="G17" i="15"/>
  <c r="F17" i="15"/>
  <c r="E17" i="15"/>
  <c r="D17" i="15"/>
  <c r="C17" i="15"/>
  <c r="L17" i="2"/>
  <c r="K17" i="2"/>
  <c r="J17" i="2"/>
  <c r="I17" i="2"/>
  <c r="H17" i="2"/>
  <c r="G17" i="2"/>
  <c r="F17" i="2"/>
  <c r="E17" i="2"/>
  <c r="D17" i="2"/>
  <c r="C17" i="2"/>
  <c r="F6" i="1"/>
  <c r="E6" i="1"/>
  <c r="G6" i="1"/>
  <c r="L15" i="15"/>
  <c r="K15" i="15"/>
  <c r="J15" i="15"/>
  <c r="I15" i="15"/>
  <c r="H15" i="15"/>
  <c r="G15" i="15"/>
  <c r="F15" i="15"/>
  <c r="E15" i="15"/>
  <c r="D15" i="15"/>
  <c r="C15" i="15"/>
  <c r="L14" i="15"/>
  <c r="K14" i="15"/>
  <c r="J14" i="15"/>
  <c r="I14" i="15"/>
  <c r="H14" i="15"/>
  <c r="G14" i="15"/>
  <c r="F14" i="15"/>
  <c r="E14" i="15"/>
  <c r="D14" i="15"/>
  <c r="C14" i="15"/>
  <c r="C32" i="1" s="1"/>
  <c r="B13" i="15"/>
  <c r="G12" i="15"/>
  <c r="B2" i="15"/>
  <c r="B3" i="15" s="1"/>
  <c r="C27" i="1"/>
  <c r="E27" i="1"/>
  <c r="G27" i="1"/>
  <c r="I27" i="1"/>
  <c r="I26" i="1"/>
  <c r="G26" i="1"/>
  <c r="E26" i="1"/>
  <c r="C26" i="1"/>
  <c r="L15" i="14"/>
  <c r="K15" i="14"/>
  <c r="J15" i="14"/>
  <c r="I15" i="14"/>
  <c r="H15" i="14"/>
  <c r="G15" i="14"/>
  <c r="F15" i="14"/>
  <c r="E15" i="14"/>
  <c r="D15" i="14"/>
  <c r="C15" i="14"/>
  <c r="L14" i="14"/>
  <c r="K14" i="14"/>
  <c r="J14" i="14"/>
  <c r="I14" i="14"/>
  <c r="H14" i="14"/>
  <c r="G14" i="14"/>
  <c r="F14" i="14"/>
  <c r="E14" i="14"/>
  <c r="D14" i="14"/>
  <c r="C14" i="14"/>
  <c r="B13" i="14"/>
  <c r="G12" i="14"/>
  <c r="B2" i="14"/>
  <c r="B3" i="14" s="1"/>
  <c r="L15" i="13"/>
  <c r="K15" i="13"/>
  <c r="J15" i="13"/>
  <c r="I15" i="13"/>
  <c r="H15" i="13"/>
  <c r="G15" i="13"/>
  <c r="F15" i="13"/>
  <c r="E15" i="13"/>
  <c r="D15" i="13"/>
  <c r="C15" i="13"/>
  <c r="L14" i="13"/>
  <c r="K14" i="13"/>
  <c r="J14" i="13"/>
  <c r="I14" i="13"/>
  <c r="H14" i="13"/>
  <c r="G14" i="13"/>
  <c r="F14" i="13"/>
  <c r="E14" i="13"/>
  <c r="D14" i="13"/>
  <c r="C14" i="13"/>
  <c r="E32" i="1" s="1"/>
  <c r="B13" i="13"/>
  <c r="G12" i="13"/>
  <c r="B2" i="13"/>
  <c r="B3" i="13" s="1"/>
  <c r="L15" i="12"/>
  <c r="K15" i="12"/>
  <c r="J15" i="12"/>
  <c r="I15" i="12"/>
  <c r="H15" i="12"/>
  <c r="G15" i="12"/>
  <c r="F15" i="12"/>
  <c r="E15" i="12"/>
  <c r="D15" i="12"/>
  <c r="C15" i="12"/>
  <c r="L14" i="12"/>
  <c r="K14" i="12"/>
  <c r="J14" i="12"/>
  <c r="I14" i="12"/>
  <c r="H14" i="12"/>
  <c r="G14" i="12"/>
  <c r="F14" i="12"/>
  <c r="E14" i="12"/>
  <c r="D14" i="12"/>
  <c r="C14" i="12"/>
  <c r="G32" i="1" s="1"/>
  <c r="B13" i="12"/>
  <c r="G12" i="12"/>
  <c r="B2" i="12"/>
  <c r="B3" i="12" s="1"/>
  <c r="B12" i="15"/>
  <c r="G12" i="10"/>
  <c r="B12" i="10"/>
  <c r="G12" i="11"/>
  <c r="B12" i="11"/>
  <c r="G12" i="7"/>
  <c r="B12" i="7"/>
  <c r="G12" i="9"/>
  <c r="B12" i="9"/>
  <c r="G12" i="8"/>
  <c r="B12" i="8"/>
  <c r="G12" i="5"/>
  <c r="B12" i="5"/>
  <c r="G12" i="4"/>
  <c r="B12" i="4"/>
  <c r="G12" i="6"/>
  <c r="B12" i="6"/>
  <c r="G12" i="3"/>
  <c r="G12" i="2"/>
  <c r="L15" i="10"/>
  <c r="K15" i="10"/>
  <c r="J15" i="10"/>
  <c r="I15" i="10"/>
  <c r="H15" i="10"/>
  <c r="G15" i="10"/>
  <c r="F15" i="10"/>
  <c r="E15" i="10"/>
  <c r="D15" i="10"/>
  <c r="C15" i="10"/>
  <c r="L14" i="10"/>
  <c r="K14" i="10"/>
  <c r="J14" i="10"/>
  <c r="I14" i="10"/>
  <c r="H14" i="10"/>
  <c r="G14" i="10"/>
  <c r="F14" i="10"/>
  <c r="E14" i="10"/>
  <c r="D14" i="10"/>
  <c r="C14" i="10"/>
  <c r="B13" i="10"/>
  <c r="L15" i="11"/>
  <c r="K15" i="11"/>
  <c r="J15" i="11"/>
  <c r="I15" i="11"/>
  <c r="H15" i="11"/>
  <c r="G15" i="11"/>
  <c r="F15" i="11"/>
  <c r="E15" i="11"/>
  <c r="D15" i="11"/>
  <c r="C15" i="11"/>
  <c r="L14" i="11"/>
  <c r="K14" i="11"/>
  <c r="J14" i="11"/>
  <c r="I14" i="11"/>
  <c r="H14" i="11"/>
  <c r="G14" i="11"/>
  <c r="F14" i="11"/>
  <c r="E14" i="11"/>
  <c r="D14" i="11"/>
  <c r="C14" i="11"/>
  <c r="B13" i="11"/>
  <c r="L15" i="7"/>
  <c r="K15" i="7"/>
  <c r="J15" i="7"/>
  <c r="I15" i="7"/>
  <c r="H15" i="7"/>
  <c r="G15" i="7"/>
  <c r="F15" i="7"/>
  <c r="E15" i="7"/>
  <c r="D15" i="7"/>
  <c r="C15" i="7"/>
  <c r="L14" i="7"/>
  <c r="K14" i="7"/>
  <c r="J14" i="7"/>
  <c r="I14" i="7"/>
  <c r="H14" i="7"/>
  <c r="G14" i="7"/>
  <c r="F14" i="7"/>
  <c r="E14" i="7"/>
  <c r="D14" i="7"/>
  <c r="C14" i="7"/>
  <c r="B13" i="7"/>
  <c r="L15" i="9"/>
  <c r="K15" i="9"/>
  <c r="J15" i="9"/>
  <c r="I15" i="9"/>
  <c r="H15" i="9"/>
  <c r="G15" i="9"/>
  <c r="F15" i="9"/>
  <c r="E15" i="9"/>
  <c r="D15" i="9"/>
  <c r="C15" i="9"/>
  <c r="L14" i="9"/>
  <c r="K14" i="9"/>
  <c r="J14" i="9"/>
  <c r="I14" i="9"/>
  <c r="H14" i="9"/>
  <c r="G14" i="9"/>
  <c r="F14" i="9"/>
  <c r="E14" i="9"/>
  <c r="D14" i="9"/>
  <c r="C14" i="9"/>
  <c r="B13" i="9"/>
  <c r="L15" i="8"/>
  <c r="K15" i="8"/>
  <c r="J15" i="8"/>
  <c r="I15" i="8"/>
  <c r="H15" i="8"/>
  <c r="G15" i="8"/>
  <c r="F15" i="8"/>
  <c r="E15" i="8"/>
  <c r="D15" i="8"/>
  <c r="C15" i="8"/>
  <c r="L14" i="8"/>
  <c r="K14" i="8"/>
  <c r="J14" i="8"/>
  <c r="I14" i="8"/>
  <c r="H14" i="8"/>
  <c r="G14" i="8"/>
  <c r="F14" i="8"/>
  <c r="E14" i="8"/>
  <c r="D14" i="8"/>
  <c r="C14" i="8"/>
  <c r="B13" i="8"/>
  <c r="L15" i="5"/>
  <c r="K15" i="5"/>
  <c r="J15" i="5"/>
  <c r="I15" i="5"/>
  <c r="H15" i="5"/>
  <c r="G15" i="5"/>
  <c r="F15" i="5"/>
  <c r="E15" i="5"/>
  <c r="D15" i="5"/>
  <c r="C15" i="5"/>
  <c r="L14" i="5"/>
  <c r="K14" i="5"/>
  <c r="J14" i="5"/>
  <c r="I14" i="5"/>
  <c r="H14" i="5"/>
  <c r="G14" i="5"/>
  <c r="F14" i="5"/>
  <c r="E14" i="5"/>
  <c r="D14" i="5"/>
  <c r="C14" i="5"/>
  <c r="B13" i="5"/>
  <c r="L15" i="4"/>
  <c r="K15" i="4"/>
  <c r="J15" i="4"/>
  <c r="I15" i="4"/>
  <c r="H15" i="4"/>
  <c r="G15" i="4"/>
  <c r="F15" i="4"/>
  <c r="E15" i="4"/>
  <c r="D15" i="4"/>
  <c r="C15" i="4"/>
  <c r="L14" i="4"/>
  <c r="K14" i="4"/>
  <c r="J14" i="4"/>
  <c r="I14" i="4"/>
  <c r="H14" i="4"/>
  <c r="G14" i="4"/>
  <c r="F14" i="4"/>
  <c r="E14" i="4"/>
  <c r="D14" i="4"/>
  <c r="C14" i="4"/>
  <c r="H32" i="1" s="1"/>
  <c r="B13" i="4"/>
  <c r="L15" i="6"/>
  <c r="K15" i="6"/>
  <c r="J15" i="6"/>
  <c r="I15" i="6"/>
  <c r="H15" i="6"/>
  <c r="G15" i="6"/>
  <c r="F15" i="6"/>
  <c r="E15" i="6"/>
  <c r="D15" i="6"/>
  <c r="C15" i="6"/>
  <c r="L14" i="6"/>
  <c r="K14" i="6"/>
  <c r="J14" i="6"/>
  <c r="I14" i="6"/>
  <c r="H14" i="6"/>
  <c r="G14" i="6"/>
  <c r="F14" i="6"/>
  <c r="E14" i="6"/>
  <c r="D14" i="6"/>
  <c r="C14" i="6"/>
  <c r="F32" i="1" s="1"/>
  <c r="B13" i="6"/>
  <c r="L15" i="3"/>
  <c r="K15" i="3"/>
  <c r="J15" i="3"/>
  <c r="I15" i="3"/>
  <c r="H15" i="3"/>
  <c r="G15" i="3"/>
  <c r="F15" i="3"/>
  <c r="E15" i="3"/>
  <c r="D15" i="3"/>
  <c r="C15" i="3"/>
  <c r="L14" i="3"/>
  <c r="K14" i="3"/>
  <c r="J14" i="3"/>
  <c r="I14" i="3"/>
  <c r="H14" i="3"/>
  <c r="G14" i="3"/>
  <c r="F14" i="3"/>
  <c r="E14" i="3"/>
  <c r="D14" i="3"/>
  <c r="C14" i="3"/>
  <c r="D32" i="1" s="1"/>
  <c r="B13" i="3"/>
  <c r="L14" i="2"/>
  <c r="K14" i="2"/>
  <c r="J14" i="2"/>
  <c r="I14" i="2"/>
  <c r="H14" i="2"/>
  <c r="G14" i="2"/>
  <c r="F14" i="2"/>
  <c r="E14" i="2"/>
  <c r="D14" i="2"/>
  <c r="C14" i="2"/>
  <c r="B13" i="2"/>
  <c r="B2" i="10"/>
  <c r="B3" i="10" s="1"/>
  <c r="B2" i="11"/>
  <c r="B3" i="11" s="1"/>
  <c r="B2" i="7"/>
  <c r="B3" i="7" s="1"/>
  <c r="B2" i="9"/>
  <c r="B3" i="9" s="1"/>
  <c r="B2" i="8"/>
  <c r="B3" i="8" s="1"/>
  <c r="B2" i="5"/>
  <c r="B3" i="5" s="1"/>
  <c r="B2" i="4"/>
  <c r="B3" i="4" s="1"/>
  <c r="L15" i="2"/>
  <c r="K15" i="2"/>
  <c r="J15" i="2"/>
  <c r="I15" i="2"/>
  <c r="H15" i="2"/>
  <c r="G15" i="2"/>
  <c r="F15" i="2"/>
  <c r="E15" i="2"/>
  <c r="D15" i="2"/>
  <c r="C15" i="2"/>
  <c r="B2" i="2"/>
  <c r="B3" i="2" s="1"/>
  <c r="B2" i="3"/>
  <c r="B3" i="3" s="1"/>
  <c r="B2" i="6"/>
  <c r="B3" i="6" s="1"/>
  <c r="D26" i="1"/>
  <c r="F26" i="1"/>
  <c r="H26" i="1"/>
  <c r="J26" i="1"/>
  <c r="K26" i="1"/>
  <c r="L26" i="1"/>
  <c r="M26" i="1"/>
  <c r="N26" i="1"/>
  <c r="O26" i="1"/>
  <c r="D27" i="1"/>
  <c r="F27" i="1"/>
  <c r="H27" i="1"/>
  <c r="J27" i="1"/>
  <c r="K27" i="1"/>
  <c r="L27" i="1"/>
  <c r="M27" i="1"/>
  <c r="N27" i="1"/>
  <c r="O27" i="1"/>
  <c r="B26" i="1"/>
  <c r="B27" i="1"/>
  <c r="B32" i="1" l="1"/>
  <c r="B5" i="18"/>
  <c r="B5" i="17"/>
  <c r="L18" i="6"/>
  <c r="K18" i="6"/>
  <c r="J18" i="6"/>
  <c r="I18" i="6"/>
  <c r="H18" i="6"/>
  <c r="G18" i="6"/>
  <c r="F18" i="6"/>
  <c r="E18" i="6"/>
  <c r="D18" i="6"/>
  <c r="C18" i="6"/>
  <c r="L18" i="3"/>
  <c r="K18" i="3"/>
  <c r="J18" i="3"/>
  <c r="I18" i="3"/>
  <c r="H18" i="3"/>
  <c r="G18" i="3"/>
  <c r="F18" i="3"/>
  <c r="E18" i="3"/>
  <c r="D18" i="3"/>
  <c r="C18" i="3"/>
  <c r="C7" i="2"/>
  <c r="L18" i="2"/>
  <c r="K18" i="2"/>
  <c r="J18" i="2"/>
  <c r="I18" i="2"/>
  <c r="H18" i="2"/>
  <c r="G18" i="2"/>
  <c r="F18" i="2"/>
  <c r="E18" i="2"/>
  <c r="D18" i="2"/>
  <c r="C18" i="2"/>
  <c r="L18" i="4"/>
  <c r="K18" i="4"/>
  <c r="J18" i="4"/>
  <c r="I18" i="4"/>
  <c r="H18" i="4"/>
  <c r="G18" i="4"/>
  <c r="F18" i="4"/>
  <c r="E18" i="4"/>
  <c r="D18" i="4"/>
  <c r="C18" i="4"/>
  <c r="L18" i="5"/>
  <c r="K18" i="5"/>
  <c r="J18" i="5"/>
  <c r="I18" i="5"/>
  <c r="H18" i="5"/>
  <c r="G18" i="5"/>
  <c r="F18" i="5"/>
  <c r="E18" i="5"/>
  <c r="D18" i="5"/>
  <c r="C18" i="5"/>
  <c r="L18" i="8"/>
  <c r="K18" i="8"/>
  <c r="J18" i="8"/>
  <c r="I18" i="8"/>
  <c r="H18" i="8"/>
  <c r="G18" i="8"/>
  <c r="F18" i="8"/>
  <c r="E18" i="8"/>
  <c r="D18" i="8"/>
  <c r="C18" i="8"/>
  <c r="L18" i="9"/>
  <c r="K18" i="9"/>
  <c r="J18" i="9"/>
  <c r="I18" i="9"/>
  <c r="H18" i="9"/>
  <c r="G18" i="9"/>
  <c r="F18" i="9"/>
  <c r="E18" i="9"/>
  <c r="D18" i="9"/>
  <c r="C18" i="9"/>
  <c r="L18" i="7"/>
  <c r="K18" i="7"/>
  <c r="J18" i="7"/>
  <c r="I18" i="7"/>
  <c r="H18" i="7"/>
  <c r="G18" i="7"/>
  <c r="F18" i="7"/>
  <c r="E18" i="7"/>
  <c r="D18" i="7"/>
  <c r="C18" i="7"/>
  <c r="L18" i="11"/>
  <c r="K18" i="11"/>
  <c r="J18" i="11"/>
  <c r="I18" i="11"/>
  <c r="H18" i="11"/>
  <c r="G18" i="11"/>
  <c r="F18" i="11"/>
  <c r="E18" i="11"/>
  <c r="D18" i="11"/>
  <c r="C18" i="11"/>
  <c r="L18" i="10"/>
  <c r="K18" i="10"/>
  <c r="J18" i="10"/>
  <c r="I18" i="10"/>
  <c r="H18" i="10"/>
  <c r="G18" i="10"/>
  <c r="F18" i="10"/>
  <c r="E18" i="10"/>
  <c r="D18" i="10"/>
  <c r="C18" i="10"/>
  <c r="L18" i="12"/>
  <c r="K18" i="12"/>
  <c r="J18" i="12"/>
  <c r="I18" i="12"/>
  <c r="H18" i="12"/>
  <c r="G18" i="12"/>
  <c r="F18" i="12"/>
  <c r="E18" i="12"/>
  <c r="D18" i="12"/>
  <c r="C18" i="12"/>
  <c r="L18" i="13"/>
  <c r="K18" i="13"/>
  <c r="J18" i="13"/>
  <c r="I18" i="13"/>
  <c r="H18" i="13"/>
  <c r="G18" i="13"/>
  <c r="F18" i="13"/>
  <c r="E18" i="13"/>
  <c r="D18" i="13"/>
  <c r="C18" i="13"/>
  <c r="L18" i="14"/>
  <c r="K18" i="14"/>
  <c r="J18" i="14"/>
  <c r="I18" i="14"/>
  <c r="H18" i="14"/>
  <c r="G18" i="14"/>
  <c r="F18" i="14"/>
  <c r="E18" i="14"/>
  <c r="D18" i="14"/>
  <c r="C18" i="14"/>
  <c r="L18" i="15"/>
  <c r="K18" i="15"/>
  <c r="J18" i="15"/>
  <c r="I18" i="15"/>
  <c r="H18" i="15"/>
  <c r="G18" i="15"/>
  <c r="F18" i="15"/>
  <c r="E18" i="15"/>
  <c r="D18" i="15"/>
  <c r="C18" i="15"/>
  <c r="B117" i="6"/>
  <c r="B118" i="6" s="1"/>
  <c r="B112" i="6"/>
  <c r="B113" i="6" s="1"/>
  <c r="B107" i="6"/>
  <c r="B108" i="6" s="1"/>
  <c r="B102" i="6"/>
  <c r="B103" i="6" s="1"/>
  <c r="B117" i="4"/>
  <c r="B118" i="4" s="1"/>
  <c r="B112" i="4"/>
  <c r="B113" i="4" s="1"/>
  <c r="B107" i="4"/>
  <c r="B108" i="4" s="1"/>
  <c r="B102" i="4"/>
  <c r="B103" i="4" s="1"/>
  <c r="B117" i="5"/>
  <c r="B118" i="5" s="1"/>
  <c r="B112" i="5"/>
  <c r="B113" i="5" s="1"/>
  <c r="B107" i="5"/>
  <c r="B108" i="5" s="1"/>
  <c r="B102" i="5"/>
  <c r="B103" i="5" s="1"/>
  <c r="B117" i="8"/>
  <c r="B118" i="8" s="1"/>
  <c r="B112" i="8"/>
  <c r="B113" i="8" s="1"/>
  <c r="B107" i="8"/>
  <c r="B108" i="8" s="1"/>
  <c r="B102" i="8"/>
  <c r="B103" i="8" s="1"/>
  <c r="B117" i="9"/>
  <c r="B118" i="9" s="1"/>
  <c r="B112" i="9"/>
  <c r="B113" i="9" s="1"/>
  <c r="B107" i="9"/>
  <c r="B108" i="9" s="1"/>
  <c r="B102" i="9"/>
  <c r="B103" i="9" s="1"/>
  <c r="B117" i="7"/>
  <c r="B118" i="7" s="1"/>
  <c r="B112" i="7"/>
  <c r="B113" i="7" s="1"/>
  <c r="B107" i="7"/>
  <c r="B108" i="7" s="1"/>
  <c r="B102" i="7"/>
  <c r="B103" i="7" s="1"/>
  <c r="B117" i="11"/>
  <c r="B118" i="11" s="1"/>
  <c r="B112" i="11"/>
  <c r="B113" i="11" s="1"/>
  <c r="B107" i="11"/>
  <c r="B108" i="11" s="1"/>
  <c r="B102" i="11"/>
  <c r="B103" i="11" s="1"/>
  <c r="B117" i="10"/>
  <c r="B118" i="10" s="1"/>
  <c r="B112" i="10"/>
  <c r="B113" i="10" s="1"/>
  <c r="B107" i="10"/>
  <c r="B108" i="10" s="1"/>
  <c r="B102" i="10"/>
  <c r="B103" i="10" s="1"/>
  <c r="B117" i="15"/>
  <c r="B118" i="15" s="1"/>
  <c r="B112" i="15"/>
  <c r="B113" i="15" s="1"/>
  <c r="B107" i="15"/>
  <c r="B108" i="15" s="1"/>
  <c r="B102" i="15"/>
  <c r="B103" i="15" s="1"/>
  <c r="L16" i="15"/>
  <c r="K16" i="15"/>
  <c r="J16" i="15"/>
  <c r="I16" i="15"/>
  <c r="H16" i="15"/>
  <c r="G16" i="15"/>
  <c r="F16" i="15"/>
  <c r="E16" i="15"/>
  <c r="D16" i="15"/>
  <c r="C16" i="15"/>
  <c r="L7" i="15"/>
  <c r="L9" i="15" s="1"/>
  <c r="K7" i="15"/>
  <c r="K9" i="15" s="1"/>
  <c r="J7" i="15"/>
  <c r="J9" i="15" s="1"/>
  <c r="I7" i="15"/>
  <c r="I9" i="15" s="1"/>
  <c r="H7" i="15"/>
  <c r="H9" i="15" s="1"/>
  <c r="G7" i="15"/>
  <c r="G9" i="15" s="1"/>
  <c r="F7" i="15"/>
  <c r="F9" i="15" s="1"/>
  <c r="E7" i="15"/>
  <c r="E9" i="15" s="1"/>
  <c r="D7" i="15"/>
  <c r="D9" i="15" s="1"/>
  <c r="C7" i="15"/>
  <c r="C9" i="15" s="1"/>
  <c r="C33" i="1" s="1"/>
  <c r="B97" i="15"/>
  <c r="B98" i="15" s="1"/>
  <c r="B92" i="15"/>
  <c r="B93" i="15" s="1"/>
  <c r="B87" i="15"/>
  <c r="B88" i="15" s="1"/>
  <c r="B82" i="15"/>
  <c r="B83" i="15" s="1"/>
  <c r="B77" i="15"/>
  <c r="B78" i="15" s="1"/>
  <c r="B72" i="15"/>
  <c r="B73" i="15" s="1"/>
  <c r="B67" i="15"/>
  <c r="B68" i="15" s="1"/>
  <c r="B62" i="15"/>
  <c r="B63" i="15" s="1"/>
  <c r="B57" i="15"/>
  <c r="B58" i="15" s="1"/>
  <c r="B52" i="15"/>
  <c r="B53" i="15" s="1"/>
  <c r="B47" i="15"/>
  <c r="B48" i="15" s="1"/>
  <c r="B42" i="15"/>
  <c r="B43" i="15" s="1"/>
  <c r="B37" i="15"/>
  <c r="B38" i="15" s="1"/>
  <c r="B32" i="15"/>
  <c r="B33" i="15" s="1"/>
  <c r="B27" i="15"/>
  <c r="B28" i="15" s="1"/>
  <c r="B19" i="15"/>
  <c r="B21" i="15" s="1"/>
  <c r="G19" i="15"/>
  <c r="C19" i="15"/>
  <c r="D19" i="15"/>
  <c r="E19" i="15"/>
  <c r="F19" i="15"/>
  <c r="H19" i="15"/>
  <c r="I19" i="15"/>
  <c r="J19" i="15"/>
  <c r="K19" i="15"/>
  <c r="L19" i="15"/>
  <c r="B12" i="14"/>
  <c r="B12" i="13"/>
  <c r="B12" i="12"/>
  <c r="L16" i="14"/>
  <c r="K16" i="14"/>
  <c r="J16" i="14"/>
  <c r="I16" i="14"/>
  <c r="H16" i="14"/>
  <c r="G16" i="14"/>
  <c r="F16" i="14"/>
  <c r="E16" i="14"/>
  <c r="D16" i="14"/>
  <c r="C16" i="14"/>
  <c r="L7" i="14"/>
  <c r="L9" i="14" s="1"/>
  <c r="K7" i="14"/>
  <c r="K9" i="14" s="1"/>
  <c r="J7" i="14"/>
  <c r="J9" i="14" s="1"/>
  <c r="I7" i="14"/>
  <c r="I9" i="14" s="1"/>
  <c r="H7" i="14"/>
  <c r="H9" i="14" s="1"/>
  <c r="G7" i="14"/>
  <c r="G9" i="14" s="1"/>
  <c r="F7" i="14"/>
  <c r="F9" i="14" s="1"/>
  <c r="E7" i="14"/>
  <c r="E9" i="14" s="1"/>
  <c r="D7" i="14"/>
  <c r="D9" i="14" s="1"/>
  <c r="C7" i="14"/>
  <c r="C9" i="14" s="1"/>
  <c r="B97" i="14"/>
  <c r="B98" i="14" s="1"/>
  <c r="B92" i="14"/>
  <c r="B93" i="14" s="1"/>
  <c r="B87" i="14"/>
  <c r="B88" i="14" s="1"/>
  <c r="B82" i="14"/>
  <c r="B83" i="14" s="1"/>
  <c r="B77" i="14"/>
  <c r="B78" i="14" s="1"/>
  <c r="B72" i="14"/>
  <c r="B73" i="14" s="1"/>
  <c r="B67" i="14"/>
  <c r="B68" i="14" s="1"/>
  <c r="B62" i="14"/>
  <c r="B63" i="14" s="1"/>
  <c r="B57" i="14"/>
  <c r="B58" i="14" s="1"/>
  <c r="B52" i="14"/>
  <c r="B53" i="14" s="1"/>
  <c r="B47" i="14"/>
  <c r="B48" i="14" s="1"/>
  <c r="B42" i="14"/>
  <c r="B43" i="14" s="1"/>
  <c r="B37" i="14"/>
  <c r="B38" i="14" s="1"/>
  <c r="B32" i="14"/>
  <c r="B33" i="14" s="1"/>
  <c r="B27" i="14"/>
  <c r="B28" i="14" s="1"/>
  <c r="B19" i="14"/>
  <c r="B21" i="14" s="1"/>
  <c r="G19" i="14"/>
  <c r="C19" i="14"/>
  <c r="D19" i="14"/>
  <c r="E19" i="14"/>
  <c r="F19" i="14"/>
  <c r="H19" i="14"/>
  <c r="I19" i="14"/>
  <c r="J19" i="14"/>
  <c r="K19" i="14"/>
  <c r="L19" i="14"/>
  <c r="L16" i="13"/>
  <c r="K16" i="13"/>
  <c r="J16" i="13"/>
  <c r="I16" i="13"/>
  <c r="H16" i="13"/>
  <c r="G16" i="13"/>
  <c r="F16" i="13"/>
  <c r="E16" i="13"/>
  <c r="D16" i="13"/>
  <c r="C16" i="13"/>
  <c r="L7" i="13"/>
  <c r="L9" i="13" s="1"/>
  <c r="K7" i="13"/>
  <c r="K9" i="13" s="1"/>
  <c r="J7" i="13"/>
  <c r="J9" i="13" s="1"/>
  <c r="I7" i="13"/>
  <c r="I9" i="13" s="1"/>
  <c r="H7" i="13"/>
  <c r="H9" i="13" s="1"/>
  <c r="G7" i="13"/>
  <c r="G9" i="13" s="1"/>
  <c r="F7" i="13"/>
  <c r="F9" i="13" s="1"/>
  <c r="E7" i="13"/>
  <c r="E9" i="13" s="1"/>
  <c r="D7" i="13"/>
  <c r="D9" i="13" s="1"/>
  <c r="C7" i="13"/>
  <c r="C9" i="13" s="1"/>
  <c r="E33" i="1" s="1"/>
  <c r="B97" i="13"/>
  <c r="B98" i="13" s="1"/>
  <c r="B92" i="13"/>
  <c r="B93" i="13" s="1"/>
  <c r="B87" i="13"/>
  <c r="B88" i="13" s="1"/>
  <c r="B82" i="13"/>
  <c r="B83" i="13" s="1"/>
  <c r="B77" i="13"/>
  <c r="B78" i="13" s="1"/>
  <c r="B72" i="13"/>
  <c r="B73" i="13" s="1"/>
  <c r="B67" i="13"/>
  <c r="B68" i="13" s="1"/>
  <c r="B62" i="13"/>
  <c r="B63" i="13" s="1"/>
  <c r="B57" i="13"/>
  <c r="B58" i="13" s="1"/>
  <c r="B52" i="13"/>
  <c r="B53" i="13" s="1"/>
  <c r="B47" i="13"/>
  <c r="B48" i="13" s="1"/>
  <c r="B42" i="13"/>
  <c r="B43" i="13" s="1"/>
  <c r="B37" i="13"/>
  <c r="B38" i="13" s="1"/>
  <c r="B32" i="13"/>
  <c r="B33" i="13" s="1"/>
  <c r="B27" i="13"/>
  <c r="B28" i="13" s="1"/>
  <c r="B19" i="13"/>
  <c r="B21" i="13" s="1"/>
  <c r="G19" i="13"/>
  <c r="C19" i="13"/>
  <c r="D19" i="13"/>
  <c r="E19" i="13"/>
  <c r="F19" i="13"/>
  <c r="H19" i="13"/>
  <c r="I19" i="13"/>
  <c r="J19" i="13"/>
  <c r="K19" i="13"/>
  <c r="L19" i="13"/>
  <c r="L16" i="12"/>
  <c r="K16" i="12"/>
  <c r="J16" i="12"/>
  <c r="I16" i="12"/>
  <c r="H16" i="12"/>
  <c r="G16" i="12"/>
  <c r="F16" i="12"/>
  <c r="E16" i="12"/>
  <c r="D16" i="12"/>
  <c r="C16" i="12"/>
  <c r="L7" i="12"/>
  <c r="L9" i="12" s="1"/>
  <c r="K7" i="12"/>
  <c r="K9" i="12" s="1"/>
  <c r="J7" i="12"/>
  <c r="J9" i="12" s="1"/>
  <c r="I7" i="12"/>
  <c r="I9" i="12" s="1"/>
  <c r="H7" i="12"/>
  <c r="H9" i="12" s="1"/>
  <c r="G7" i="12"/>
  <c r="G9" i="12" s="1"/>
  <c r="F7" i="12"/>
  <c r="F9" i="12" s="1"/>
  <c r="E7" i="12"/>
  <c r="E9" i="12" s="1"/>
  <c r="D7" i="12"/>
  <c r="D9" i="12" s="1"/>
  <c r="C7" i="12"/>
  <c r="C9" i="12" s="1"/>
  <c r="G33" i="1" s="1"/>
  <c r="B97" i="12"/>
  <c r="B98" i="12" s="1"/>
  <c r="B92" i="12"/>
  <c r="B93" i="12" s="1"/>
  <c r="B87" i="12"/>
  <c r="B88" i="12" s="1"/>
  <c r="B82" i="12"/>
  <c r="B83" i="12" s="1"/>
  <c r="B77" i="12"/>
  <c r="B78" i="12" s="1"/>
  <c r="B72" i="12"/>
  <c r="B73" i="12" s="1"/>
  <c r="B67" i="12"/>
  <c r="B68" i="12" s="1"/>
  <c r="B62" i="12"/>
  <c r="B63" i="12" s="1"/>
  <c r="B57" i="12"/>
  <c r="B58" i="12" s="1"/>
  <c r="B52" i="12"/>
  <c r="B53" i="12" s="1"/>
  <c r="B47" i="12"/>
  <c r="B48" i="12" s="1"/>
  <c r="B42" i="12"/>
  <c r="B43" i="12" s="1"/>
  <c r="B37" i="12"/>
  <c r="B38" i="12" s="1"/>
  <c r="B32" i="12"/>
  <c r="B33" i="12" s="1"/>
  <c r="B27" i="12"/>
  <c r="B28" i="12" s="1"/>
  <c r="B19" i="12"/>
  <c r="B21" i="12" s="1"/>
  <c r="G19" i="12"/>
  <c r="C19" i="12"/>
  <c r="D19" i="12"/>
  <c r="E19" i="12"/>
  <c r="F19" i="12"/>
  <c r="H19" i="12"/>
  <c r="I19" i="12"/>
  <c r="J19" i="12"/>
  <c r="K19" i="12"/>
  <c r="L19" i="12"/>
  <c r="B19" i="6"/>
  <c r="B21" i="6" s="1"/>
  <c r="B97" i="6"/>
  <c r="B98" i="6" s="1"/>
  <c r="B92" i="6"/>
  <c r="B93" i="6" s="1"/>
  <c r="B87" i="6"/>
  <c r="B88" i="6" s="1"/>
  <c r="B82" i="6"/>
  <c r="B83" i="6" s="1"/>
  <c r="B77" i="6"/>
  <c r="B78" i="6" s="1"/>
  <c r="B72" i="6"/>
  <c r="B73" i="6" s="1"/>
  <c r="B67" i="6"/>
  <c r="B68" i="6" s="1"/>
  <c r="B62" i="6"/>
  <c r="B63" i="6" s="1"/>
  <c r="B57" i="6"/>
  <c r="B58" i="6" s="1"/>
  <c r="B52" i="6"/>
  <c r="B53" i="6" s="1"/>
  <c r="B47" i="6"/>
  <c r="B48" i="6" s="1"/>
  <c r="B42" i="6"/>
  <c r="B43" i="6" s="1"/>
  <c r="B37" i="6"/>
  <c r="B38" i="6" s="1"/>
  <c r="B32" i="6"/>
  <c r="B33" i="6" s="1"/>
  <c r="B27" i="6"/>
  <c r="B28" i="6" s="1"/>
  <c r="B12" i="2"/>
  <c r="B12" i="3"/>
  <c r="L7" i="10"/>
  <c r="L9" i="10" s="1"/>
  <c r="K7" i="10"/>
  <c r="K9" i="10" s="1"/>
  <c r="J7" i="10"/>
  <c r="J9" i="10" s="1"/>
  <c r="I7" i="10"/>
  <c r="I9" i="10" s="1"/>
  <c r="H7" i="10"/>
  <c r="H9" i="10" s="1"/>
  <c r="G7" i="10"/>
  <c r="G9" i="10" s="1"/>
  <c r="F7" i="10"/>
  <c r="F9" i="10" s="1"/>
  <c r="E7" i="10"/>
  <c r="E9" i="10" s="1"/>
  <c r="D7" i="10"/>
  <c r="D9" i="10" s="1"/>
  <c r="C7" i="10"/>
  <c r="C9" i="10" s="1"/>
  <c r="B97" i="10"/>
  <c r="B98" i="10" s="1"/>
  <c r="B92" i="10"/>
  <c r="B93" i="10" s="1"/>
  <c r="B87" i="10"/>
  <c r="B88" i="10" s="1"/>
  <c r="B82" i="10"/>
  <c r="B83" i="10" s="1"/>
  <c r="B77" i="10"/>
  <c r="B78" i="10" s="1"/>
  <c r="B72" i="10"/>
  <c r="B73" i="10" s="1"/>
  <c r="B67" i="10"/>
  <c r="B68" i="10" s="1"/>
  <c r="B62" i="10"/>
  <c r="B63" i="10" s="1"/>
  <c r="B57" i="10"/>
  <c r="B58" i="10" s="1"/>
  <c r="B52" i="10"/>
  <c r="B53" i="10" s="1"/>
  <c r="B47" i="10"/>
  <c r="B48" i="10" s="1"/>
  <c r="B42" i="10"/>
  <c r="B43" i="10" s="1"/>
  <c r="B37" i="10"/>
  <c r="B38" i="10" s="1"/>
  <c r="B32" i="10"/>
  <c r="B33" i="10" s="1"/>
  <c r="B27" i="10"/>
  <c r="B28" i="10" s="1"/>
  <c r="B19" i="10"/>
  <c r="B21" i="10" s="1"/>
  <c r="L7" i="11"/>
  <c r="L9" i="11" s="1"/>
  <c r="K7" i="11"/>
  <c r="K9" i="11" s="1"/>
  <c r="J7" i="11"/>
  <c r="J9" i="11" s="1"/>
  <c r="I7" i="11"/>
  <c r="I9" i="11" s="1"/>
  <c r="H7" i="11"/>
  <c r="H9" i="11" s="1"/>
  <c r="G7" i="11"/>
  <c r="G9" i="11" s="1"/>
  <c r="F7" i="11"/>
  <c r="F9" i="11" s="1"/>
  <c r="E7" i="11"/>
  <c r="E9" i="11" s="1"/>
  <c r="D7" i="11"/>
  <c r="D9" i="11" s="1"/>
  <c r="C7" i="11"/>
  <c r="C9" i="11" s="1"/>
  <c r="B97" i="11"/>
  <c r="B98" i="11" s="1"/>
  <c r="B92" i="11"/>
  <c r="B93" i="11" s="1"/>
  <c r="B87" i="11"/>
  <c r="B88" i="11" s="1"/>
  <c r="B82" i="11"/>
  <c r="B83" i="11" s="1"/>
  <c r="B77" i="11"/>
  <c r="B78" i="11" s="1"/>
  <c r="B72" i="11"/>
  <c r="B73" i="11" s="1"/>
  <c r="B67" i="11"/>
  <c r="B68" i="11" s="1"/>
  <c r="B62" i="11"/>
  <c r="B63" i="11" s="1"/>
  <c r="B57" i="11"/>
  <c r="B58" i="11" s="1"/>
  <c r="B52" i="11"/>
  <c r="B53" i="11" s="1"/>
  <c r="B47" i="11"/>
  <c r="B48" i="11" s="1"/>
  <c r="B42" i="11"/>
  <c r="B43" i="11" s="1"/>
  <c r="B37" i="11"/>
  <c r="B38" i="11" s="1"/>
  <c r="B32" i="11"/>
  <c r="B33" i="11" s="1"/>
  <c r="B27" i="11"/>
  <c r="B28" i="11" s="1"/>
  <c r="B19" i="11"/>
  <c r="B21" i="11" s="1"/>
  <c r="L7" i="7"/>
  <c r="L9" i="7" s="1"/>
  <c r="K7" i="7"/>
  <c r="K9" i="7" s="1"/>
  <c r="J7" i="7"/>
  <c r="J9" i="7" s="1"/>
  <c r="I7" i="7"/>
  <c r="I9" i="7" s="1"/>
  <c r="H7" i="7"/>
  <c r="H9" i="7" s="1"/>
  <c r="G7" i="7"/>
  <c r="G9" i="7" s="1"/>
  <c r="F7" i="7"/>
  <c r="F9" i="7" s="1"/>
  <c r="E7" i="7"/>
  <c r="E9" i="7" s="1"/>
  <c r="D7" i="7"/>
  <c r="D9" i="7" s="1"/>
  <c r="C7" i="7"/>
  <c r="C9" i="7" s="1"/>
  <c r="B97" i="7"/>
  <c r="B98" i="7" s="1"/>
  <c r="B92" i="7"/>
  <c r="B93" i="7" s="1"/>
  <c r="B87" i="7"/>
  <c r="B88" i="7" s="1"/>
  <c r="B82" i="7"/>
  <c r="B83" i="7" s="1"/>
  <c r="B77" i="7"/>
  <c r="B78" i="7" s="1"/>
  <c r="B72" i="7"/>
  <c r="B73" i="7" s="1"/>
  <c r="B67" i="7"/>
  <c r="B68" i="7" s="1"/>
  <c r="B62" i="7"/>
  <c r="B63" i="7" s="1"/>
  <c r="B57" i="7"/>
  <c r="B58" i="7" s="1"/>
  <c r="B52" i="7"/>
  <c r="B53" i="7" s="1"/>
  <c r="B47" i="7"/>
  <c r="B48" i="7" s="1"/>
  <c r="B42" i="7"/>
  <c r="B43" i="7" s="1"/>
  <c r="B37" i="7"/>
  <c r="B38" i="7" s="1"/>
  <c r="B32" i="7"/>
  <c r="B33" i="7" s="1"/>
  <c r="B27" i="7"/>
  <c r="B28" i="7" s="1"/>
  <c r="B19" i="7"/>
  <c r="B21" i="7" s="1"/>
  <c r="L7" i="9"/>
  <c r="L9" i="9" s="1"/>
  <c r="K7" i="9"/>
  <c r="K9" i="9" s="1"/>
  <c r="J7" i="9"/>
  <c r="J9" i="9" s="1"/>
  <c r="I7" i="9"/>
  <c r="I9" i="9" s="1"/>
  <c r="H7" i="9"/>
  <c r="H9" i="9" s="1"/>
  <c r="G7" i="9"/>
  <c r="G9" i="9" s="1"/>
  <c r="F7" i="9"/>
  <c r="F9" i="9" s="1"/>
  <c r="E7" i="9"/>
  <c r="E9" i="9" s="1"/>
  <c r="D7" i="9"/>
  <c r="D9" i="9" s="1"/>
  <c r="C7" i="9"/>
  <c r="C9" i="9" s="1"/>
  <c r="B97" i="9"/>
  <c r="B98" i="9" s="1"/>
  <c r="B92" i="9"/>
  <c r="B93" i="9" s="1"/>
  <c r="B87" i="9"/>
  <c r="B88" i="9" s="1"/>
  <c r="B82" i="9"/>
  <c r="B83" i="9" s="1"/>
  <c r="B77" i="9"/>
  <c r="B78" i="9" s="1"/>
  <c r="B72" i="9"/>
  <c r="B73" i="9" s="1"/>
  <c r="B67" i="9"/>
  <c r="B68" i="9" s="1"/>
  <c r="B62" i="9"/>
  <c r="B63" i="9" s="1"/>
  <c r="B57" i="9"/>
  <c r="B58" i="9" s="1"/>
  <c r="B52" i="9"/>
  <c r="B53" i="9" s="1"/>
  <c r="B47" i="9"/>
  <c r="B48" i="9" s="1"/>
  <c r="B42" i="9"/>
  <c r="B43" i="9" s="1"/>
  <c r="B37" i="9"/>
  <c r="B38" i="9" s="1"/>
  <c r="B32" i="9"/>
  <c r="B33" i="9" s="1"/>
  <c r="B27" i="9"/>
  <c r="B28" i="9" s="1"/>
  <c r="B19" i="9"/>
  <c r="B21" i="9" s="1"/>
  <c r="L7" i="8"/>
  <c r="L9" i="8" s="1"/>
  <c r="K7" i="8"/>
  <c r="K9" i="8" s="1"/>
  <c r="J7" i="8"/>
  <c r="J9" i="8" s="1"/>
  <c r="I7" i="8"/>
  <c r="I9" i="8" s="1"/>
  <c r="H7" i="8"/>
  <c r="H9" i="8" s="1"/>
  <c r="G7" i="8"/>
  <c r="G9" i="8" s="1"/>
  <c r="F7" i="8"/>
  <c r="F9" i="8" s="1"/>
  <c r="E7" i="8"/>
  <c r="E9" i="8" s="1"/>
  <c r="D7" i="8"/>
  <c r="D9" i="8" s="1"/>
  <c r="C7" i="8"/>
  <c r="C9" i="8" s="1"/>
  <c r="B97" i="8"/>
  <c r="B98" i="8" s="1"/>
  <c r="B92" i="8"/>
  <c r="B93" i="8" s="1"/>
  <c r="B87" i="8"/>
  <c r="B88" i="8" s="1"/>
  <c r="B82" i="8"/>
  <c r="B83" i="8" s="1"/>
  <c r="B77" i="8"/>
  <c r="B78" i="8" s="1"/>
  <c r="B72" i="8"/>
  <c r="B73" i="8" s="1"/>
  <c r="B67" i="8"/>
  <c r="B68" i="8" s="1"/>
  <c r="B62" i="8"/>
  <c r="B63" i="8" s="1"/>
  <c r="B57" i="8"/>
  <c r="B58" i="8" s="1"/>
  <c r="B52" i="8"/>
  <c r="B53" i="8" s="1"/>
  <c r="B47" i="8"/>
  <c r="B48" i="8" s="1"/>
  <c r="B42" i="8"/>
  <c r="B43" i="8" s="1"/>
  <c r="B37" i="8"/>
  <c r="B38" i="8" s="1"/>
  <c r="B32" i="8"/>
  <c r="B33" i="8" s="1"/>
  <c r="B27" i="8"/>
  <c r="B28" i="8" s="1"/>
  <c r="B19" i="8"/>
  <c r="B21" i="8" s="1"/>
  <c r="L7" i="5"/>
  <c r="L9" i="5" s="1"/>
  <c r="K7" i="5"/>
  <c r="K9" i="5" s="1"/>
  <c r="J7" i="5"/>
  <c r="J9" i="5" s="1"/>
  <c r="I7" i="5"/>
  <c r="I9" i="5" s="1"/>
  <c r="H7" i="5"/>
  <c r="H9" i="5" s="1"/>
  <c r="G7" i="5"/>
  <c r="G9" i="5" s="1"/>
  <c r="F7" i="5"/>
  <c r="F9" i="5" s="1"/>
  <c r="E7" i="5"/>
  <c r="E9" i="5" s="1"/>
  <c r="D7" i="5"/>
  <c r="D9" i="5" s="1"/>
  <c r="C7" i="5"/>
  <c r="C9" i="5" s="1"/>
  <c r="B97" i="5"/>
  <c r="B98" i="5" s="1"/>
  <c r="B92" i="5"/>
  <c r="B93" i="5" s="1"/>
  <c r="B87" i="5"/>
  <c r="B88" i="5" s="1"/>
  <c r="B82" i="5"/>
  <c r="B83" i="5" s="1"/>
  <c r="B77" i="5"/>
  <c r="B78" i="5" s="1"/>
  <c r="B72" i="5"/>
  <c r="B73" i="5" s="1"/>
  <c r="B67" i="5"/>
  <c r="B68" i="5" s="1"/>
  <c r="B62" i="5"/>
  <c r="B63" i="5" s="1"/>
  <c r="B57" i="5"/>
  <c r="B58" i="5" s="1"/>
  <c r="B52" i="5"/>
  <c r="B53" i="5" s="1"/>
  <c r="B47" i="5"/>
  <c r="B48" i="5" s="1"/>
  <c r="B42" i="5"/>
  <c r="B43" i="5" s="1"/>
  <c r="B37" i="5"/>
  <c r="B38" i="5" s="1"/>
  <c r="B32" i="5"/>
  <c r="B33" i="5" s="1"/>
  <c r="B27" i="5"/>
  <c r="B28" i="5" s="1"/>
  <c r="B19" i="5"/>
  <c r="B21" i="5" s="1"/>
  <c r="L7" i="4"/>
  <c r="L9" i="4" s="1"/>
  <c r="K7" i="4"/>
  <c r="K9" i="4" s="1"/>
  <c r="J7" i="4"/>
  <c r="J9" i="4" s="1"/>
  <c r="I7" i="4"/>
  <c r="I9" i="4" s="1"/>
  <c r="H7" i="4"/>
  <c r="H9" i="4" s="1"/>
  <c r="G7" i="4"/>
  <c r="G9" i="4" s="1"/>
  <c r="F7" i="4"/>
  <c r="F9" i="4" s="1"/>
  <c r="E7" i="4"/>
  <c r="E9" i="4" s="1"/>
  <c r="D7" i="4"/>
  <c r="D9" i="4" s="1"/>
  <c r="C7" i="4"/>
  <c r="C9" i="4" s="1"/>
  <c r="H33" i="1" s="1"/>
  <c r="B7" i="17" s="1"/>
  <c r="B97" i="4"/>
  <c r="B98" i="4" s="1"/>
  <c r="B92" i="4"/>
  <c r="B93" i="4" s="1"/>
  <c r="B87" i="4"/>
  <c r="B88" i="4" s="1"/>
  <c r="B82" i="4"/>
  <c r="B83" i="4" s="1"/>
  <c r="B77" i="4"/>
  <c r="B78" i="4" s="1"/>
  <c r="B72" i="4"/>
  <c r="B73" i="4" s="1"/>
  <c r="B67" i="4"/>
  <c r="B68" i="4" s="1"/>
  <c r="B62" i="4"/>
  <c r="B63" i="4" s="1"/>
  <c r="B57" i="4"/>
  <c r="B58" i="4" s="1"/>
  <c r="B52" i="4"/>
  <c r="B53" i="4" s="1"/>
  <c r="B47" i="4"/>
  <c r="B48" i="4" s="1"/>
  <c r="B42" i="4"/>
  <c r="B43" i="4" s="1"/>
  <c r="B37" i="4"/>
  <c r="B38" i="4" s="1"/>
  <c r="B32" i="4"/>
  <c r="B33" i="4" s="1"/>
  <c r="B27" i="4"/>
  <c r="B28" i="4" s="1"/>
  <c r="B19" i="4"/>
  <c r="B21" i="4" s="1"/>
  <c r="L7" i="2"/>
  <c r="L9" i="2" s="1"/>
  <c r="K7" i="2"/>
  <c r="K9" i="2" s="1"/>
  <c r="J7" i="2"/>
  <c r="J9" i="2" s="1"/>
  <c r="I7" i="2"/>
  <c r="I9" i="2" s="1"/>
  <c r="H7" i="2"/>
  <c r="H9" i="2" s="1"/>
  <c r="G7" i="2"/>
  <c r="G9" i="2" s="1"/>
  <c r="F7" i="2"/>
  <c r="F9" i="2" s="1"/>
  <c r="E7" i="2"/>
  <c r="E9" i="2" s="1"/>
  <c r="D7" i="2"/>
  <c r="D9" i="2" s="1"/>
  <c r="C9" i="2"/>
  <c r="B33" i="1" s="1"/>
  <c r="B97" i="2"/>
  <c r="B98" i="2" s="1"/>
  <c r="B92" i="2"/>
  <c r="B93" i="2" s="1"/>
  <c r="B87" i="2"/>
  <c r="B88" i="2" s="1"/>
  <c r="B82" i="2"/>
  <c r="B83" i="2" s="1"/>
  <c r="B77" i="2"/>
  <c r="B78" i="2" s="1"/>
  <c r="B72" i="2"/>
  <c r="B73" i="2" s="1"/>
  <c r="B67" i="2"/>
  <c r="B68" i="2" s="1"/>
  <c r="B62" i="2"/>
  <c r="B63" i="2" s="1"/>
  <c r="B57" i="2"/>
  <c r="B58" i="2" s="1"/>
  <c r="B52" i="2"/>
  <c r="B53" i="2" s="1"/>
  <c r="B47" i="2"/>
  <c r="B48" i="2" s="1"/>
  <c r="B42" i="2"/>
  <c r="B43" i="2" s="1"/>
  <c r="B37" i="2"/>
  <c r="B38" i="2" s="1"/>
  <c r="B32" i="2"/>
  <c r="B33" i="2" s="1"/>
  <c r="B27" i="2"/>
  <c r="B28" i="2" s="1"/>
  <c r="B19" i="2"/>
  <c r="B21" i="2" s="1"/>
  <c r="L7" i="3"/>
  <c r="L9" i="3" s="1"/>
  <c r="K7" i="3"/>
  <c r="K9" i="3" s="1"/>
  <c r="J7" i="3"/>
  <c r="J9" i="3" s="1"/>
  <c r="I7" i="3"/>
  <c r="I9" i="3" s="1"/>
  <c r="H7" i="3"/>
  <c r="H9" i="3" s="1"/>
  <c r="G7" i="3"/>
  <c r="G9" i="3" s="1"/>
  <c r="F7" i="3"/>
  <c r="F9" i="3" s="1"/>
  <c r="E7" i="3"/>
  <c r="E9" i="3" s="1"/>
  <c r="D7" i="3"/>
  <c r="D9" i="3" s="1"/>
  <c r="C7" i="3"/>
  <c r="C9" i="3" s="1"/>
  <c r="D33" i="1" s="1"/>
  <c r="B7" i="18" s="1"/>
  <c r="B97" i="3"/>
  <c r="B98" i="3" s="1"/>
  <c r="B92" i="3"/>
  <c r="B93" i="3" s="1"/>
  <c r="B87" i="3"/>
  <c r="B88" i="3" s="1"/>
  <c r="B82" i="3"/>
  <c r="B83" i="3" s="1"/>
  <c r="B77" i="3"/>
  <c r="B78" i="3" s="1"/>
  <c r="B72" i="3"/>
  <c r="B73" i="3" s="1"/>
  <c r="B67" i="3"/>
  <c r="B68" i="3" s="1"/>
  <c r="B62" i="3"/>
  <c r="B63" i="3" s="1"/>
  <c r="B57" i="3"/>
  <c r="B58" i="3" s="1"/>
  <c r="B52" i="3"/>
  <c r="B53" i="3" s="1"/>
  <c r="B47" i="3"/>
  <c r="B48" i="3" s="1"/>
  <c r="B42" i="3"/>
  <c r="B43" i="3" s="1"/>
  <c r="B37" i="3"/>
  <c r="B38" i="3" s="1"/>
  <c r="B32" i="3"/>
  <c r="B33" i="3" s="1"/>
  <c r="B27" i="3"/>
  <c r="B28" i="3" s="1"/>
  <c r="B19" i="3"/>
  <c r="B21" i="3" s="1"/>
  <c r="C31" i="1" l="1"/>
  <c r="E31" i="1"/>
  <c r="G31" i="1"/>
  <c r="B117" i="3"/>
  <c r="B118" i="3" s="1"/>
  <c r="B112" i="3"/>
  <c r="B113" i="3" s="1"/>
  <c r="B107" i="3"/>
  <c r="B108" i="3" s="1"/>
  <c r="B102" i="3"/>
  <c r="B103" i="3" s="1"/>
  <c r="B117" i="12"/>
  <c r="B118" i="12" s="1"/>
  <c r="B112" i="12"/>
  <c r="B113" i="12" s="1"/>
  <c r="B107" i="12"/>
  <c r="B108" i="12" s="1"/>
  <c r="B102" i="12"/>
  <c r="B103" i="12" s="1"/>
  <c r="B117" i="13"/>
  <c r="B118" i="13" s="1"/>
  <c r="B112" i="13"/>
  <c r="B113" i="13" s="1"/>
  <c r="B107" i="13"/>
  <c r="B108" i="13" s="1"/>
  <c r="B102" i="13"/>
  <c r="B103" i="13" s="1"/>
  <c r="B117" i="14"/>
  <c r="B118" i="14" s="1"/>
  <c r="B112" i="14"/>
  <c r="B113" i="14" s="1"/>
  <c r="B107" i="14"/>
  <c r="B108" i="14" s="1"/>
  <c r="B102" i="14"/>
  <c r="B103" i="14" s="1"/>
  <c r="B117" i="2"/>
  <c r="B118" i="2" s="1"/>
  <c r="B112" i="2"/>
  <c r="B113" i="2" s="1"/>
  <c r="B107" i="2"/>
  <c r="B108" i="2" s="1"/>
  <c r="B102" i="2"/>
  <c r="B103" i="2" s="1"/>
  <c r="C21" i="15"/>
  <c r="D21" i="15"/>
  <c r="E21" i="15"/>
  <c r="F21" i="15"/>
  <c r="G21" i="15"/>
  <c r="H21" i="15"/>
  <c r="I21" i="15"/>
  <c r="J21" i="15"/>
  <c r="K21" i="15"/>
  <c r="L21" i="15"/>
  <c r="C21" i="14"/>
  <c r="D21" i="14"/>
  <c r="E21" i="14"/>
  <c r="F21" i="14"/>
  <c r="G21" i="14"/>
  <c r="H21" i="14"/>
  <c r="I21" i="14"/>
  <c r="J21" i="14"/>
  <c r="K21" i="14"/>
  <c r="L21" i="14"/>
  <c r="C21" i="13"/>
  <c r="D21" i="13"/>
  <c r="E21" i="13"/>
  <c r="F21" i="13"/>
  <c r="G21" i="13"/>
  <c r="H21" i="13"/>
  <c r="I21" i="13"/>
  <c r="J21" i="13"/>
  <c r="K21" i="13"/>
  <c r="L21" i="13"/>
  <c r="C21" i="12"/>
  <c r="D21" i="12"/>
  <c r="E21" i="12"/>
  <c r="F21" i="12"/>
  <c r="G21" i="12"/>
  <c r="H21" i="12"/>
  <c r="I21" i="12"/>
  <c r="J21" i="12"/>
  <c r="K21" i="12"/>
  <c r="L21" i="12"/>
  <c r="L16" i="6"/>
  <c r="K16" i="6"/>
  <c r="J16" i="6"/>
  <c r="I16" i="6"/>
  <c r="H16" i="6"/>
  <c r="G16" i="6"/>
  <c r="F16" i="6"/>
  <c r="E16" i="6"/>
  <c r="D16" i="6"/>
  <c r="C16" i="6"/>
  <c r="F31" i="1" s="1"/>
  <c r="L16" i="4"/>
  <c r="L19" i="4" s="1"/>
  <c r="K16" i="4"/>
  <c r="K19" i="4" s="1"/>
  <c r="J16" i="4"/>
  <c r="J19" i="4" s="1"/>
  <c r="I16" i="4"/>
  <c r="H16" i="4"/>
  <c r="H19" i="4" s="1"/>
  <c r="G16" i="4"/>
  <c r="G19" i="4" s="1"/>
  <c r="F16" i="4"/>
  <c r="F19" i="4" s="1"/>
  <c r="E16" i="4"/>
  <c r="E19" i="4" s="1"/>
  <c r="D16" i="4"/>
  <c r="D19" i="4" s="1"/>
  <c r="C16" i="4"/>
  <c r="L16" i="5"/>
  <c r="L19" i="5" s="1"/>
  <c r="K16" i="5"/>
  <c r="K19" i="5" s="1"/>
  <c r="J16" i="5"/>
  <c r="J19" i="5" s="1"/>
  <c r="I16" i="5"/>
  <c r="I19" i="5" s="1"/>
  <c r="H16" i="5"/>
  <c r="H19" i="5" s="1"/>
  <c r="G16" i="5"/>
  <c r="G19" i="5" s="1"/>
  <c r="F16" i="5"/>
  <c r="F19" i="5" s="1"/>
  <c r="E16" i="5"/>
  <c r="E19" i="5" s="1"/>
  <c r="D16" i="5"/>
  <c r="D19" i="5" s="1"/>
  <c r="C16" i="5"/>
  <c r="C19" i="5" s="1"/>
  <c r="L16" i="8"/>
  <c r="L19" i="8" s="1"/>
  <c r="K16" i="8"/>
  <c r="K19" i="8" s="1"/>
  <c r="J16" i="8"/>
  <c r="J19" i="8" s="1"/>
  <c r="I16" i="8"/>
  <c r="I19" i="8" s="1"/>
  <c r="H16" i="8"/>
  <c r="H19" i="8" s="1"/>
  <c r="G16" i="8"/>
  <c r="G19" i="8" s="1"/>
  <c r="F16" i="8"/>
  <c r="F19" i="8" s="1"/>
  <c r="E16" i="8"/>
  <c r="E19" i="8" s="1"/>
  <c r="D16" i="8"/>
  <c r="D19" i="8" s="1"/>
  <c r="C16" i="8"/>
  <c r="C19" i="8" s="1"/>
  <c r="L16" i="9"/>
  <c r="L19" i="9" s="1"/>
  <c r="K16" i="9"/>
  <c r="K19" i="9" s="1"/>
  <c r="J16" i="9"/>
  <c r="J19" i="9" s="1"/>
  <c r="I16" i="9"/>
  <c r="I19" i="9" s="1"/>
  <c r="H16" i="9"/>
  <c r="H19" i="9" s="1"/>
  <c r="G16" i="9"/>
  <c r="G19" i="9" s="1"/>
  <c r="F16" i="9"/>
  <c r="F19" i="9" s="1"/>
  <c r="E16" i="9"/>
  <c r="E19" i="9" s="1"/>
  <c r="D16" i="9"/>
  <c r="D19" i="9" s="1"/>
  <c r="C16" i="9"/>
  <c r="C19" i="9" s="1"/>
  <c r="L16" i="7"/>
  <c r="L19" i="7" s="1"/>
  <c r="K16" i="7"/>
  <c r="K19" i="7" s="1"/>
  <c r="J16" i="7"/>
  <c r="J19" i="7" s="1"/>
  <c r="I16" i="7"/>
  <c r="I19" i="7" s="1"/>
  <c r="H16" i="7"/>
  <c r="H19" i="7" s="1"/>
  <c r="G16" i="7"/>
  <c r="G19" i="7" s="1"/>
  <c r="F16" i="7"/>
  <c r="F19" i="7" s="1"/>
  <c r="E16" i="7"/>
  <c r="E19" i="7" s="1"/>
  <c r="D16" i="7"/>
  <c r="D19" i="7" s="1"/>
  <c r="C16" i="7"/>
  <c r="C19" i="7" s="1"/>
  <c r="L16" i="11"/>
  <c r="L19" i="11" s="1"/>
  <c r="K16" i="11"/>
  <c r="K19" i="11" s="1"/>
  <c r="J16" i="11"/>
  <c r="J19" i="11" s="1"/>
  <c r="I16" i="11"/>
  <c r="I19" i="11" s="1"/>
  <c r="H16" i="11"/>
  <c r="H19" i="11" s="1"/>
  <c r="G16" i="11"/>
  <c r="G19" i="11" s="1"/>
  <c r="F16" i="11"/>
  <c r="F19" i="11" s="1"/>
  <c r="E16" i="11"/>
  <c r="E19" i="11" s="1"/>
  <c r="D16" i="11"/>
  <c r="D19" i="11" s="1"/>
  <c r="C16" i="11"/>
  <c r="C19" i="11" s="1"/>
  <c r="L16" i="10"/>
  <c r="L19" i="10" s="1"/>
  <c r="K16" i="10"/>
  <c r="K19" i="10" s="1"/>
  <c r="J16" i="10"/>
  <c r="J19" i="10" s="1"/>
  <c r="I16" i="10"/>
  <c r="I19" i="10" s="1"/>
  <c r="H16" i="10"/>
  <c r="H19" i="10" s="1"/>
  <c r="G16" i="10"/>
  <c r="G19" i="10" s="1"/>
  <c r="F16" i="10"/>
  <c r="F19" i="10" s="1"/>
  <c r="E16" i="10"/>
  <c r="E19" i="10" s="1"/>
  <c r="D16" i="10"/>
  <c r="D19" i="10" s="1"/>
  <c r="C16" i="10"/>
  <c r="C19" i="10" s="1"/>
  <c r="L16" i="3"/>
  <c r="L19" i="3" s="1"/>
  <c r="K16" i="3"/>
  <c r="K19" i="3" s="1"/>
  <c r="J16" i="3"/>
  <c r="J19" i="3" s="1"/>
  <c r="I16" i="3"/>
  <c r="I19" i="3" s="1"/>
  <c r="H16" i="3"/>
  <c r="H19" i="3" s="1"/>
  <c r="G16" i="3"/>
  <c r="G19" i="3" s="1"/>
  <c r="F16" i="3"/>
  <c r="F19" i="3" s="1"/>
  <c r="E16" i="3"/>
  <c r="D16" i="3"/>
  <c r="D19" i="3" s="1"/>
  <c r="C16" i="3"/>
  <c r="L16" i="2"/>
  <c r="L19" i="2" s="1"/>
  <c r="K16" i="2"/>
  <c r="K19" i="2" s="1"/>
  <c r="J16" i="2"/>
  <c r="J19" i="2" s="1"/>
  <c r="I16" i="2"/>
  <c r="I19" i="2" s="1"/>
  <c r="H16" i="2"/>
  <c r="H19" i="2" s="1"/>
  <c r="G16" i="2"/>
  <c r="G19" i="2" s="1"/>
  <c r="F16" i="2"/>
  <c r="F19" i="2" s="1"/>
  <c r="E16" i="2"/>
  <c r="E19" i="2" s="1"/>
  <c r="D16" i="2"/>
  <c r="D19" i="2" s="1"/>
  <c r="C16" i="2"/>
  <c r="B31" i="1" s="1"/>
  <c r="L7" i="6"/>
  <c r="K7" i="6"/>
  <c r="J7" i="6"/>
  <c r="I7" i="6"/>
  <c r="H7" i="6"/>
  <c r="G7" i="6"/>
  <c r="F7" i="6"/>
  <c r="E7" i="6"/>
  <c r="D7" i="6"/>
  <c r="C7" i="6"/>
  <c r="C21" i="10"/>
  <c r="D21" i="10"/>
  <c r="E21" i="10"/>
  <c r="F21" i="10"/>
  <c r="G21" i="10"/>
  <c r="H21" i="10"/>
  <c r="I21" i="10"/>
  <c r="J21" i="10"/>
  <c r="K21" i="10"/>
  <c r="L21" i="10"/>
  <c r="C21" i="11"/>
  <c r="D21" i="11"/>
  <c r="E21" i="11"/>
  <c r="F21" i="11"/>
  <c r="G21" i="11"/>
  <c r="H21" i="11"/>
  <c r="I21" i="11"/>
  <c r="J21" i="11"/>
  <c r="K21" i="11"/>
  <c r="L21" i="11"/>
  <c r="C21" i="7"/>
  <c r="D21" i="7"/>
  <c r="E21" i="7"/>
  <c r="F21" i="7"/>
  <c r="G21" i="7"/>
  <c r="H21" i="7"/>
  <c r="I21" i="7"/>
  <c r="J21" i="7"/>
  <c r="K21" i="7"/>
  <c r="L21" i="7"/>
  <c r="C21" i="9"/>
  <c r="D21" i="9"/>
  <c r="E21" i="9"/>
  <c r="F21" i="9"/>
  <c r="G21" i="9"/>
  <c r="H21" i="9"/>
  <c r="I21" i="9"/>
  <c r="J21" i="9"/>
  <c r="K21" i="9"/>
  <c r="L21" i="9"/>
  <c r="C21" i="8"/>
  <c r="D21" i="8"/>
  <c r="E21" i="8"/>
  <c r="F21" i="8"/>
  <c r="G21" i="8"/>
  <c r="H21" i="8"/>
  <c r="I21" i="8"/>
  <c r="J21" i="8"/>
  <c r="K21" i="8"/>
  <c r="L21" i="8"/>
  <c r="C21" i="5"/>
  <c r="D21" i="5"/>
  <c r="E21" i="5"/>
  <c r="F21" i="5"/>
  <c r="G21" i="5"/>
  <c r="H21" i="5"/>
  <c r="I21" i="5"/>
  <c r="J21" i="5"/>
  <c r="K21" i="5"/>
  <c r="L21" i="5"/>
  <c r="D21" i="4"/>
  <c r="E21" i="4"/>
  <c r="F21" i="4"/>
  <c r="G21" i="4"/>
  <c r="H21" i="4"/>
  <c r="J21" i="4"/>
  <c r="K21" i="4"/>
  <c r="L21" i="4"/>
  <c r="D21" i="2"/>
  <c r="E21" i="2"/>
  <c r="F21" i="2"/>
  <c r="G21" i="2"/>
  <c r="H21" i="2"/>
  <c r="I21" i="2"/>
  <c r="J21" i="2"/>
  <c r="K21" i="2"/>
  <c r="L21" i="2"/>
  <c r="D21" i="3"/>
  <c r="F21" i="3"/>
  <c r="G21" i="3"/>
  <c r="H21" i="3"/>
  <c r="I21" i="3"/>
  <c r="J21" i="3"/>
  <c r="K21" i="3"/>
  <c r="L21" i="3"/>
  <c r="L19" i="6"/>
  <c r="K19" i="6"/>
  <c r="J19" i="6"/>
  <c r="I19" i="6"/>
  <c r="H19" i="6"/>
  <c r="G19" i="6"/>
  <c r="F19" i="6"/>
  <c r="E19" i="6"/>
  <c r="D19" i="6"/>
  <c r="C19" i="6"/>
  <c r="L9" i="6"/>
  <c r="L21" i="6" s="1"/>
  <c r="K9" i="6"/>
  <c r="K21" i="6" s="1"/>
  <c r="J9" i="6"/>
  <c r="J21" i="6" s="1"/>
  <c r="I9" i="6"/>
  <c r="I21" i="6" s="1"/>
  <c r="H9" i="6"/>
  <c r="H21" i="6" s="1"/>
  <c r="G9" i="6"/>
  <c r="F9" i="6"/>
  <c r="F21" i="6" s="1"/>
  <c r="E9" i="6"/>
  <c r="E21" i="6" s="1"/>
  <c r="D9" i="6"/>
  <c r="D21" i="6" s="1"/>
  <c r="C9" i="6"/>
  <c r="C21" i="6" l="1"/>
  <c r="F33" i="1"/>
  <c r="C19" i="3"/>
  <c r="C21" i="3" s="1"/>
  <c r="D31" i="1"/>
  <c r="C19" i="4"/>
  <c r="C21" i="4" s="1"/>
  <c r="H31" i="1"/>
  <c r="I19" i="4"/>
  <c r="I21" i="4" s="1"/>
  <c r="H35" i="4"/>
  <c r="G21" i="6"/>
  <c r="E19" i="3"/>
  <c r="E21" i="3" s="1"/>
  <c r="C19" i="2"/>
  <c r="C21" i="2" s="1"/>
  <c r="C118" i="6"/>
  <c r="C113" i="6"/>
  <c r="C108" i="6"/>
  <c r="C103" i="6"/>
  <c r="F25" i="1"/>
  <c r="D118" i="6"/>
  <c r="D113" i="6"/>
  <c r="D108" i="6"/>
  <c r="D103" i="6"/>
  <c r="E118" i="6"/>
  <c r="E113" i="6"/>
  <c r="E108" i="6"/>
  <c r="E103" i="6"/>
  <c r="F118" i="6"/>
  <c r="F113" i="6"/>
  <c r="F108" i="6"/>
  <c r="F103" i="6"/>
  <c r="G118" i="6"/>
  <c r="G113" i="6"/>
  <c r="G108" i="6"/>
  <c r="G103" i="6"/>
  <c r="H118" i="6"/>
  <c r="H113" i="6"/>
  <c r="H108" i="6"/>
  <c r="H103" i="6"/>
  <c r="I118" i="6"/>
  <c r="I113" i="6"/>
  <c r="I108" i="6"/>
  <c r="I103" i="6"/>
  <c r="J118" i="6"/>
  <c r="J113" i="6"/>
  <c r="J108" i="6"/>
  <c r="J103" i="6"/>
  <c r="K118" i="6"/>
  <c r="K113" i="6"/>
  <c r="K108" i="6"/>
  <c r="K103" i="6"/>
  <c r="L118" i="6"/>
  <c r="L113" i="6"/>
  <c r="L108" i="6"/>
  <c r="L103" i="6"/>
  <c r="L118" i="3"/>
  <c r="L113" i="3"/>
  <c r="L108" i="3"/>
  <c r="L103" i="3"/>
  <c r="K118" i="3"/>
  <c r="K113" i="3"/>
  <c r="K108" i="3"/>
  <c r="K103" i="3"/>
  <c r="J118" i="3"/>
  <c r="J113" i="3"/>
  <c r="J108" i="3"/>
  <c r="J103" i="3"/>
  <c r="I118" i="3"/>
  <c r="I113" i="3"/>
  <c r="I108" i="3"/>
  <c r="I103" i="3"/>
  <c r="H118" i="3"/>
  <c r="H113" i="3"/>
  <c r="H108" i="3"/>
  <c r="H103" i="3"/>
  <c r="G118" i="3"/>
  <c r="G113" i="3"/>
  <c r="G108" i="3"/>
  <c r="G103" i="3"/>
  <c r="F118" i="3"/>
  <c r="F113" i="3"/>
  <c r="F108" i="3"/>
  <c r="F103" i="3"/>
  <c r="E118" i="3"/>
  <c r="E113" i="3"/>
  <c r="E108" i="3"/>
  <c r="E103" i="3"/>
  <c r="D118" i="3"/>
  <c r="D113" i="3"/>
  <c r="D108" i="3"/>
  <c r="D103" i="3"/>
  <c r="C118" i="3"/>
  <c r="C113" i="3"/>
  <c r="C108" i="3"/>
  <c r="C103" i="3"/>
  <c r="D25" i="1"/>
  <c r="L118" i="4"/>
  <c r="L113" i="4"/>
  <c r="L108" i="4"/>
  <c r="L103" i="4"/>
  <c r="K118" i="4"/>
  <c r="K113" i="4"/>
  <c r="K108" i="4"/>
  <c r="K103" i="4"/>
  <c r="J118" i="4"/>
  <c r="J113" i="4"/>
  <c r="J108" i="4"/>
  <c r="J103" i="4"/>
  <c r="I118" i="4"/>
  <c r="I113" i="4"/>
  <c r="I108" i="4"/>
  <c r="I103" i="4"/>
  <c r="H118" i="4"/>
  <c r="H113" i="4"/>
  <c r="H108" i="4"/>
  <c r="H103" i="4"/>
  <c r="G118" i="4"/>
  <c r="G113" i="4"/>
  <c r="G108" i="4"/>
  <c r="G103" i="4"/>
  <c r="F118" i="4"/>
  <c r="F113" i="4"/>
  <c r="F108" i="4"/>
  <c r="F103" i="4"/>
  <c r="E118" i="4"/>
  <c r="E113" i="4"/>
  <c r="E108" i="4"/>
  <c r="E103" i="4"/>
  <c r="D118" i="4"/>
  <c r="D113" i="4"/>
  <c r="D108" i="4"/>
  <c r="D103" i="4"/>
  <c r="C118" i="4"/>
  <c r="B119" i="4" s="1"/>
  <c r="T124" i="4" s="1"/>
  <c r="C113" i="4"/>
  <c r="B114" i="4" s="1"/>
  <c r="S124" i="4" s="1"/>
  <c r="C108" i="4"/>
  <c r="B109" i="4" s="1"/>
  <c r="R124" i="4" s="1"/>
  <c r="C103" i="4"/>
  <c r="B104" i="4" s="1"/>
  <c r="Q124" i="4" s="1"/>
  <c r="H25" i="1"/>
  <c r="L118" i="5"/>
  <c r="L113" i="5"/>
  <c r="L108" i="5"/>
  <c r="L103" i="5"/>
  <c r="K118" i="5"/>
  <c r="K113" i="5"/>
  <c r="K108" i="5"/>
  <c r="K103" i="5"/>
  <c r="J118" i="5"/>
  <c r="J113" i="5"/>
  <c r="J108" i="5"/>
  <c r="J103" i="5"/>
  <c r="I118" i="5"/>
  <c r="I113" i="5"/>
  <c r="I108" i="5"/>
  <c r="I103" i="5"/>
  <c r="H118" i="5"/>
  <c r="H113" i="5"/>
  <c r="H108" i="5"/>
  <c r="H103" i="5"/>
  <c r="G118" i="5"/>
  <c r="G113" i="5"/>
  <c r="G108" i="5"/>
  <c r="G103" i="5"/>
  <c r="F118" i="5"/>
  <c r="F113" i="5"/>
  <c r="F108" i="5"/>
  <c r="F103" i="5"/>
  <c r="E118" i="5"/>
  <c r="E113" i="5"/>
  <c r="E108" i="5"/>
  <c r="E103" i="5"/>
  <c r="D118" i="5"/>
  <c r="D113" i="5"/>
  <c r="D108" i="5"/>
  <c r="D103" i="5"/>
  <c r="C118" i="5"/>
  <c r="B119" i="5" s="1"/>
  <c r="T124" i="5" s="1"/>
  <c r="C113" i="5"/>
  <c r="B114" i="5" s="1"/>
  <c r="S124" i="5" s="1"/>
  <c r="C108" i="5"/>
  <c r="B109" i="5" s="1"/>
  <c r="R124" i="5" s="1"/>
  <c r="C103" i="5"/>
  <c r="B104" i="5" s="1"/>
  <c r="Q124" i="5" s="1"/>
  <c r="J25" i="1"/>
  <c r="L118" i="8"/>
  <c r="L113" i="8"/>
  <c r="L108" i="8"/>
  <c r="L103" i="8"/>
  <c r="K118" i="8"/>
  <c r="K113" i="8"/>
  <c r="K108" i="8"/>
  <c r="K103" i="8"/>
  <c r="J118" i="8"/>
  <c r="J113" i="8"/>
  <c r="J108" i="8"/>
  <c r="J103" i="8"/>
  <c r="I118" i="8"/>
  <c r="I113" i="8"/>
  <c r="I108" i="8"/>
  <c r="I103" i="8"/>
  <c r="H118" i="8"/>
  <c r="H113" i="8"/>
  <c r="H108" i="8"/>
  <c r="H103" i="8"/>
  <c r="G118" i="8"/>
  <c r="G113" i="8"/>
  <c r="G108" i="8"/>
  <c r="G103" i="8"/>
  <c r="F118" i="8"/>
  <c r="F113" i="8"/>
  <c r="F108" i="8"/>
  <c r="F103" i="8"/>
  <c r="E118" i="8"/>
  <c r="E113" i="8"/>
  <c r="E108" i="8"/>
  <c r="E103" i="8"/>
  <c r="D118" i="8"/>
  <c r="D113" i="8"/>
  <c r="D108" i="8"/>
  <c r="D103" i="8"/>
  <c r="C118" i="8"/>
  <c r="B119" i="8" s="1"/>
  <c r="T124" i="8" s="1"/>
  <c r="C113" i="8"/>
  <c r="B114" i="8" s="1"/>
  <c r="S124" i="8" s="1"/>
  <c r="C108" i="8"/>
  <c r="B109" i="8" s="1"/>
  <c r="R124" i="8" s="1"/>
  <c r="C103" i="8"/>
  <c r="B104" i="8" s="1"/>
  <c r="Q124" i="8" s="1"/>
  <c r="K25" i="1"/>
  <c r="L118" i="9"/>
  <c r="L113" i="9"/>
  <c r="L108" i="9"/>
  <c r="L103" i="9"/>
  <c r="K118" i="9"/>
  <c r="K113" i="9"/>
  <c r="K108" i="9"/>
  <c r="K103" i="9"/>
  <c r="J118" i="9"/>
  <c r="J113" i="9"/>
  <c r="J108" i="9"/>
  <c r="J103" i="9"/>
  <c r="I118" i="9"/>
  <c r="I113" i="9"/>
  <c r="I108" i="9"/>
  <c r="I103" i="9"/>
  <c r="H118" i="9"/>
  <c r="H113" i="9"/>
  <c r="H108" i="9"/>
  <c r="H103" i="9"/>
  <c r="G118" i="9"/>
  <c r="G113" i="9"/>
  <c r="G108" i="9"/>
  <c r="G103" i="9"/>
  <c r="F118" i="9"/>
  <c r="F113" i="9"/>
  <c r="F108" i="9"/>
  <c r="F103" i="9"/>
  <c r="E118" i="9"/>
  <c r="E113" i="9"/>
  <c r="E108" i="9"/>
  <c r="E103" i="9"/>
  <c r="D118" i="9"/>
  <c r="D113" i="9"/>
  <c r="D108" i="9"/>
  <c r="D103" i="9"/>
  <c r="C118" i="9"/>
  <c r="B119" i="9" s="1"/>
  <c r="T124" i="9" s="1"/>
  <c r="C113" i="9"/>
  <c r="B114" i="9" s="1"/>
  <c r="S124" i="9" s="1"/>
  <c r="C108" i="9"/>
  <c r="B109" i="9" s="1"/>
  <c r="R124" i="9" s="1"/>
  <c r="C103" i="9"/>
  <c r="B104" i="9" s="1"/>
  <c r="Q124" i="9" s="1"/>
  <c r="L25" i="1"/>
  <c r="L118" i="7"/>
  <c r="L113" i="7"/>
  <c r="L108" i="7"/>
  <c r="L103" i="7"/>
  <c r="K118" i="7"/>
  <c r="K113" i="7"/>
  <c r="K108" i="7"/>
  <c r="K103" i="7"/>
  <c r="J118" i="7"/>
  <c r="J113" i="7"/>
  <c r="J108" i="7"/>
  <c r="J103" i="7"/>
  <c r="I118" i="7"/>
  <c r="I113" i="7"/>
  <c r="I108" i="7"/>
  <c r="I103" i="7"/>
  <c r="H118" i="7"/>
  <c r="H113" i="7"/>
  <c r="H108" i="7"/>
  <c r="H103" i="7"/>
  <c r="G118" i="7"/>
  <c r="G113" i="7"/>
  <c r="G108" i="7"/>
  <c r="G103" i="7"/>
  <c r="F118" i="7"/>
  <c r="F113" i="7"/>
  <c r="F108" i="7"/>
  <c r="F103" i="7"/>
  <c r="E118" i="7"/>
  <c r="E113" i="7"/>
  <c r="E108" i="7"/>
  <c r="E103" i="7"/>
  <c r="D118" i="7"/>
  <c r="D113" i="7"/>
  <c r="D108" i="7"/>
  <c r="D103" i="7"/>
  <c r="C118" i="7"/>
  <c r="B119" i="7" s="1"/>
  <c r="T124" i="7" s="1"/>
  <c r="C113" i="7"/>
  <c r="B114" i="7" s="1"/>
  <c r="S124" i="7" s="1"/>
  <c r="C108" i="7"/>
  <c r="B109" i="7" s="1"/>
  <c r="R124" i="7" s="1"/>
  <c r="C103" i="7"/>
  <c r="B104" i="7" s="1"/>
  <c r="Q124" i="7" s="1"/>
  <c r="M25" i="1"/>
  <c r="L118" i="11"/>
  <c r="L113" i="11"/>
  <c r="L108" i="11"/>
  <c r="L103" i="11"/>
  <c r="K118" i="11"/>
  <c r="K113" i="11"/>
  <c r="K108" i="11"/>
  <c r="K103" i="11"/>
  <c r="J118" i="11"/>
  <c r="J113" i="11"/>
  <c r="J108" i="11"/>
  <c r="J103" i="11"/>
  <c r="I118" i="11"/>
  <c r="I113" i="11"/>
  <c r="I108" i="11"/>
  <c r="I103" i="11"/>
  <c r="H118" i="11"/>
  <c r="H113" i="11"/>
  <c r="H108" i="11"/>
  <c r="H103" i="11"/>
  <c r="G118" i="11"/>
  <c r="G113" i="11"/>
  <c r="G108" i="11"/>
  <c r="G103" i="11"/>
  <c r="F118" i="11"/>
  <c r="F113" i="11"/>
  <c r="F108" i="11"/>
  <c r="F103" i="11"/>
  <c r="E118" i="11"/>
  <c r="E113" i="11"/>
  <c r="E108" i="11"/>
  <c r="E103" i="11"/>
  <c r="D118" i="11"/>
  <c r="D113" i="11"/>
  <c r="D108" i="11"/>
  <c r="D103" i="11"/>
  <c r="C118" i="11"/>
  <c r="B119" i="11" s="1"/>
  <c r="T124" i="11" s="1"/>
  <c r="C113" i="11"/>
  <c r="B114" i="11" s="1"/>
  <c r="S124" i="11" s="1"/>
  <c r="C108" i="11"/>
  <c r="B109" i="11" s="1"/>
  <c r="R124" i="11" s="1"/>
  <c r="C103" i="11"/>
  <c r="B104" i="11" s="1"/>
  <c r="Q124" i="11" s="1"/>
  <c r="N25" i="1"/>
  <c r="L118" i="10"/>
  <c r="L113" i="10"/>
  <c r="L108" i="10"/>
  <c r="L103" i="10"/>
  <c r="K118" i="10"/>
  <c r="K113" i="10"/>
  <c r="K108" i="10"/>
  <c r="K103" i="10"/>
  <c r="J118" i="10"/>
  <c r="J113" i="10"/>
  <c r="J108" i="10"/>
  <c r="J103" i="10"/>
  <c r="I118" i="10"/>
  <c r="I113" i="10"/>
  <c r="I108" i="10"/>
  <c r="I103" i="10"/>
  <c r="H118" i="10"/>
  <c r="H113" i="10"/>
  <c r="H108" i="10"/>
  <c r="H103" i="10"/>
  <c r="G118" i="10"/>
  <c r="G113" i="10"/>
  <c r="G108" i="10"/>
  <c r="G103" i="10"/>
  <c r="F118" i="10"/>
  <c r="F113" i="10"/>
  <c r="F108" i="10"/>
  <c r="F103" i="10"/>
  <c r="E118" i="10"/>
  <c r="E113" i="10"/>
  <c r="E108" i="10"/>
  <c r="E103" i="10"/>
  <c r="D118" i="10"/>
  <c r="D113" i="10"/>
  <c r="D108" i="10"/>
  <c r="D103" i="10"/>
  <c r="C118" i="10"/>
  <c r="B119" i="10" s="1"/>
  <c r="T124" i="10" s="1"/>
  <c r="C113" i="10"/>
  <c r="B114" i="10" s="1"/>
  <c r="S124" i="10" s="1"/>
  <c r="C108" i="10"/>
  <c r="B109" i="10" s="1"/>
  <c r="R124" i="10" s="1"/>
  <c r="C103" i="10"/>
  <c r="B104" i="10" s="1"/>
  <c r="Q124" i="10" s="1"/>
  <c r="O25" i="1"/>
  <c r="L118" i="12"/>
  <c r="L113" i="12"/>
  <c r="L108" i="12"/>
  <c r="L103" i="12"/>
  <c r="K118" i="12"/>
  <c r="K113" i="12"/>
  <c r="K108" i="12"/>
  <c r="K103" i="12"/>
  <c r="J118" i="12"/>
  <c r="J113" i="12"/>
  <c r="J108" i="12"/>
  <c r="J103" i="12"/>
  <c r="I118" i="12"/>
  <c r="I113" i="12"/>
  <c r="I108" i="12"/>
  <c r="I103" i="12"/>
  <c r="H118" i="12"/>
  <c r="H113" i="12"/>
  <c r="H108" i="12"/>
  <c r="H103" i="12"/>
  <c r="G118" i="12"/>
  <c r="G113" i="12"/>
  <c r="G108" i="12"/>
  <c r="G103" i="12"/>
  <c r="F118" i="12"/>
  <c r="F113" i="12"/>
  <c r="F108" i="12"/>
  <c r="F103" i="12"/>
  <c r="E118" i="12"/>
  <c r="E113" i="12"/>
  <c r="E108" i="12"/>
  <c r="E103" i="12"/>
  <c r="D118" i="12"/>
  <c r="D113" i="12"/>
  <c r="D108" i="12"/>
  <c r="D103" i="12"/>
  <c r="C118" i="12"/>
  <c r="C113" i="12"/>
  <c r="C108" i="12"/>
  <c r="C103" i="12"/>
  <c r="G25" i="1"/>
  <c r="L118" i="13"/>
  <c r="L113" i="13"/>
  <c r="L108" i="13"/>
  <c r="L103" i="13"/>
  <c r="K118" i="13"/>
  <c r="K113" i="13"/>
  <c r="K108" i="13"/>
  <c r="K103" i="13"/>
  <c r="J118" i="13"/>
  <c r="J113" i="13"/>
  <c r="J108" i="13"/>
  <c r="J103" i="13"/>
  <c r="I118" i="13"/>
  <c r="I113" i="13"/>
  <c r="I108" i="13"/>
  <c r="I103" i="13"/>
  <c r="H118" i="13"/>
  <c r="H113" i="13"/>
  <c r="H108" i="13"/>
  <c r="H103" i="13"/>
  <c r="G118" i="13"/>
  <c r="G113" i="13"/>
  <c r="G108" i="13"/>
  <c r="G103" i="13"/>
  <c r="F118" i="13"/>
  <c r="F113" i="13"/>
  <c r="F108" i="13"/>
  <c r="F103" i="13"/>
  <c r="E118" i="13"/>
  <c r="E113" i="13"/>
  <c r="E108" i="13"/>
  <c r="E103" i="13"/>
  <c r="D118" i="13"/>
  <c r="D113" i="13"/>
  <c r="D108" i="13"/>
  <c r="D103" i="13"/>
  <c r="C118" i="13"/>
  <c r="C113" i="13"/>
  <c r="C108" i="13"/>
  <c r="C103" i="13"/>
  <c r="E25" i="1"/>
  <c r="L118" i="14"/>
  <c r="L113" i="14"/>
  <c r="L108" i="14"/>
  <c r="L103" i="14"/>
  <c r="K118" i="14"/>
  <c r="K113" i="14"/>
  <c r="K108" i="14"/>
  <c r="K103" i="14"/>
  <c r="J118" i="14"/>
  <c r="J113" i="14"/>
  <c r="J108" i="14"/>
  <c r="J103" i="14"/>
  <c r="I118" i="14"/>
  <c r="I113" i="14"/>
  <c r="I108" i="14"/>
  <c r="I103" i="14"/>
  <c r="H118" i="14"/>
  <c r="H113" i="14"/>
  <c r="H108" i="14"/>
  <c r="H103" i="14"/>
  <c r="G118" i="14"/>
  <c r="G113" i="14"/>
  <c r="G108" i="14"/>
  <c r="G103" i="14"/>
  <c r="F118" i="14"/>
  <c r="F113" i="14"/>
  <c r="F108" i="14"/>
  <c r="F103" i="14"/>
  <c r="E118" i="14"/>
  <c r="E113" i="14"/>
  <c r="E108" i="14"/>
  <c r="E103" i="14"/>
  <c r="D118" i="14"/>
  <c r="D113" i="14"/>
  <c r="D108" i="14"/>
  <c r="D103" i="14"/>
  <c r="C118" i="14"/>
  <c r="C113" i="14"/>
  <c r="C108" i="14"/>
  <c r="C103" i="14"/>
  <c r="I25" i="1"/>
  <c r="L118" i="15"/>
  <c r="L113" i="15"/>
  <c r="L108" i="15"/>
  <c r="L103" i="15"/>
  <c r="K118" i="15"/>
  <c r="K113" i="15"/>
  <c r="K108" i="15"/>
  <c r="K103" i="15"/>
  <c r="J118" i="15"/>
  <c r="J113" i="15"/>
  <c r="J108" i="15"/>
  <c r="J103" i="15"/>
  <c r="I118" i="15"/>
  <c r="I113" i="15"/>
  <c r="I108" i="15"/>
  <c r="I103" i="15"/>
  <c r="H118" i="15"/>
  <c r="H113" i="15"/>
  <c r="H108" i="15"/>
  <c r="H103" i="15"/>
  <c r="G118" i="15"/>
  <c r="G113" i="15"/>
  <c r="G108" i="15"/>
  <c r="G103" i="15"/>
  <c r="F118" i="15"/>
  <c r="F113" i="15"/>
  <c r="F108" i="15"/>
  <c r="F103" i="15"/>
  <c r="E118" i="15"/>
  <c r="E113" i="15"/>
  <c r="E108" i="15"/>
  <c r="E103" i="15"/>
  <c r="D118" i="15"/>
  <c r="D113" i="15"/>
  <c r="D108" i="15"/>
  <c r="D103" i="15"/>
  <c r="C118" i="15"/>
  <c r="B119" i="15" s="1"/>
  <c r="T124" i="15" s="1"/>
  <c r="C113" i="15"/>
  <c r="B114" i="15" s="1"/>
  <c r="S124" i="15" s="1"/>
  <c r="C108" i="15"/>
  <c r="B109" i="15" s="1"/>
  <c r="R124" i="15" s="1"/>
  <c r="C103" i="15"/>
  <c r="B104" i="15" s="1"/>
  <c r="Q124" i="15" s="1"/>
  <c r="C25" i="1"/>
  <c r="B104" i="14"/>
  <c r="Q124" i="14" s="1"/>
  <c r="B109" i="14"/>
  <c r="R124" i="14" s="1"/>
  <c r="B114" i="14"/>
  <c r="S124" i="14" s="1"/>
  <c r="B119" i="14"/>
  <c r="T124" i="14" s="1"/>
  <c r="B104" i="13"/>
  <c r="Q124" i="13" s="1"/>
  <c r="B109" i="13"/>
  <c r="R124" i="13" s="1"/>
  <c r="B114" i="13"/>
  <c r="S124" i="13" s="1"/>
  <c r="B119" i="13"/>
  <c r="T124" i="13" s="1"/>
  <c r="B104" i="12"/>
  <c r="Q124" i="12" s="1"/>
  <c r="B109" i="12"/>
  <c r="R124" i="12" s="1"/>
  <c r="B114" i="12"/>
  <c r="S124" i="12" s="1"/>
  <c r="B119" i="12"/>
  <c r="T124" i="12" s="1"/>
  <c r="B104" i="3"/>
  <c r="Q124" i="3" s="1"/>
  <c r="B109" i="3"/>
  <c r="R124" i="3" s="1"/>
  <c r="B114" i="3"/>
  <c r="S124" i="3" s="1"/>
  <c r="B119" i="3"/>
  <c r="T124" i="3" s="1"/>
  <c r="L118" i="2"/>
  <c r="L113" i="2"/>
  <c r="K118" i="2"/>
  <c r="K113" i="2"/>
  <c r="J118" i="2"/>
  <c r="J113" i="2"/>
  <c r="I118" i="2"/>
  <c r="I113" i="2"/>
  <c r="H118" i="2"/>
  <c r="H113" i="2"/>
  <c r="G118" i="2"/>
  <c r="G113" i="2"/>
  <c r="F118" i="2"/>
  <c r="F113" i="2"/>
  <c r="E118" i="2"/>
  <c r="E113" i="2"/>
  <c r="D118" i="2"/>
  <c r="D113" i="2"/>
  <c r="C118" i="2"/>
  <c r="C113" i="2"/>
  <c r="B114" i="2"/>
  <c r="S124" i="2" s="1"/>
  <c r="B119" i="2"/>
  <c r="T124" i="2" s="1"/>
  <c r="L108" i="2"/>
  <c r="L103" i="2"/>
  <c r="K108" i="2"/>
  <c r="K103" i="2"/>
  <c r="J108" i="2"/>
  <c r="J103" i="2"/>
  <c r="I108" i="2"/>
  <c r="I103" i="2"/>
  <c r="H108" i="2"/>
  <c r="H103" i="2"/>
  <c r="G108" i="2"/>
  <c r="G103" i="2"/>
  <c r="F108" i="2"/>
  <c r="F103" i="2"/>
  <c r="E108" i="2"/>
  <c r="E103" i="2"/>
  <c r="D108" i="2"/>
  <c r="D103" i="2"/>
  <c r="B25" i="1"/>
  <c r="C108" i="2"/>
  <c r="C103" i="2"/>
  <c r="B104" i="2"/>
  <c r="Q124" i="2" s="1"/>
  <c r="B109" i="2"/>
  <c r="R124" i="2" s="1"/>
  <c r="L98" i="15"/>
  <c r="L93" i="15"/>
  <c r="L88" i="15"/>
  <c r="L83" i="15"/>
  <c r="L78" i="15"/>
  <c r="L73" i="15"/>
  <c r="L68" i="15"/>
  <c r="L63" i="15"/>
  <c r="L58" i="15"/>
  <c r="L53" i="15"/>
  <c r="L48" i="15"/>
  <c r="L43" i="15"/>
  <c r="L38" i="15"/>
  <c r="L33" i="15"/>
  <c r="L28" i="15"/>
  <c r="K98" i="15"/>
  <c r="K93" i="15"/>
  <c r="K88" i="15"/>
  <c r="K83" i="15"/>
  <c r="K78" i="15"/>
  <c r="K73" i="15"/>
  <c r="K68" i="15"/>
  <c r="K63" i="15"/>
  <c r="K58" i="15"/>
  <c r="K53" i="15"/>
  <c r="K48" i="15"/>
  <c r="K43" i="15"/>
  <c r="K38" i="15"/>
  <c r="K33" i="15"/>
  <c r="K28" i="15"/>
  <c r="J98" i="15"/>
  <c r="J93" i="15"/>
  <c r="J88" i="15"/>
  <c r="J83" i="15"/>
  <c r="J78" i="15"/>
  <c r="J73" i="15"/>
  <c r="J68" i="15"/>
  <c r="J63" i="15"/>
  <c r="J58" i="15"/>
  <c r="J53" i="15"/>
  <c r="J48" i="15"/>
  <c r="J43" i="15"/>
  <c r="J38" i="15"/>
  <c r="J33" i="15"/>
  <c r="J28" i="15"/>
  <c r="I98" i="15"/>
  <c r="I93" i="15"/>
  <c r="I88" i="15"/>
  <c r="I83" i="15"/>
  <c r="I78" i="15"/>
  <c r="I73" i="15"/>
  <c r="I68" i="15"/>
  <c r="I63" i="15"/>
  <c r="I58" i="15"/>
  <c r="I53" i="15"/>
  <c r="I48" i="15"/>
  <c r="I43" i="15"/>
  <c r="I38" i="15"/>
  <c r="I33" i="15"/>
  <c r="I28" i="15"/>
  <c r="H98" i="15"/>
  <c r="H93" i="15"/>
  <c r="H88" i="15"/>
  <c r="H83" i="15"/>
  <c r="H78" i="15"/>
  <c r="H73" i="15"/>
  <c r="H68" i="15"/>
  <c r="H63" i="15"/>
  <c r="H58" i="15"/>
  <c r="H53" i="15"/>
  <c r="H48" i="15"/>
  <c r="H43" i="15"/>
  <c r="H38" i="15"/>
  <c r="H33" i="15"/>
  <c r="H28" i="15"/>
  <c r="G98" i="15"/>
  <c r="G93" i="15"/>
  <c r="G88" i="15"/>
  <c r="G83" i="15"/>
  <c r="G78" i="15"/>
  <c r="G73" i="15"/>
  <c r="G68" i="15"/>
  <c r="G63" i="15"/>
  <c r="G58" i="15"/>
  <c r="G53" i="15"/>
  <c r="G48" i="15"/>
  <c r="G43" i="15"/>
  <c r="G38" i="15"/>
  <c r="G33" i="15"/>
  <c r="G28" i="15"/>
  <c r="F98" i="15"/>
  <c r="F93" i="15"/>
  <c r="F88" i="15"/>
  <c r="F83" i="15"/>
  <c r="F78" i="15"/>
  <c r="F73" i="15"/>
  <c r="F68" i="15"/>
  <c r="F63" i="15"/>
  <c r="F58" i="15"/>
  <c r="F53" i="15"/>
  <c r="F48" i="15"/>
  <c r="F43" i="15"/>
  <c r="F38" i="15"/>
  <c r="F33" i="15"/>
  <c r="F28" i="15"/>
  <c r="E98" i="15"/>
  <c r="E93" i="15"/>
  <c r="E88" i="15"/>
  <c r="E83" i="15"/>
  <c r="E78" i="15"/>
  <c r="E73" i="15"/>
  <c r="E68" i="15"/>
  <c r="E63" i="15"/>
  <c r="E58" i="15"/>
  <c r="E53" i="15"/>
  <c r="E48" i="15"/>
  <c r="E43" i="15"/>
  <c r="E38" i="15"/>
  <c r="E33" i="15"/>
  <c r="E28" i="15"/>
  <c r="D98" i="15"/>
  <c r="D93" i="15"/>
  <c r="D88" i="15"/>
  <c r="D83" i="15"/>
  <c r="D78" i="15"/>
  <c r="D73" i="15"/>
  <c r="D68" i="15"/>
  <c r="D63" i="15"/>
  <c r="D58" i="15"/>
  <c r="D53" i="15"/>
  <c r="D48" i="15"/>
  <c r="D43" i="15"/>
  <c r="D38" i="15"/>
  <c r="D33" i="15"/>
  <c r="D28" i="15"/>
  <c r="C98" i="15"/>
  <c r="B99" i="15" s="1"/>
  <c r="P124" i="15" s="1"/>
  <c r="C93" i="15"/>
  <c r="B94" i="15" s="1"/>
  <c r="O124" i="15" s="1"/>
  <c r="C88" i="15"/>
  <c r="B89" i="15" s="1"/>
  <c r="N124" i="15" s="1"/>
  <c r="C83" i="15"/>
  <c r="B84" i="15" s="1"/>
  <c r="M124" i="15" s="1"/>
  <c r="C78" i="15"/>
  <c r="B79" i="15" s="1"/>
  <c r="L124" i="15" s="1"/>
  <c r="C73" i="15"/>
  <c r="B74" i="15" s="1"/>
  <c r="K124" i="15" s="1"/>
  <c r="C68" i="15"/>
  <c r="B69" i="15" s="1"/>
  <c r="J124" i="15" s="1"/>
  <c r="C63" i="15"/>
  <c r="B64" i="15" s="1"/>
  <c r="I124" i="15" s="1"/>
  <c r="C58" i="15"/>
  <c r="B59" i="15" s="1"/>
  <c r="H124" i="15" s="1"/>
  <c r="C53" i="15"/>
  <c r="B54" i="15" s="1"/>
  <c r="G124" i="15" s="1"/>
  <c r="C48" i="15"/>
  <c r="B49" i="15" s="1"/>
  <c r="F124" i="15" s="1"/>
  <c r="C43" i="15"/>
  <c r="B44" i="15" s="1"/>
  <c r="E124" i="15" s="1"/>
  <c r="C38" i="15"/>
  <c r="B39" i="15" s="1"/>
  <c r="D124" i="15" s="1"/>
  <c r="C33" i="15"/>
  <c r="B34" i="15" s="1"/>
  <c r="C124" i="15" s="1"/>
  <c r="C28" i="15"/>
  <c r="B29" i="15" s="1"/>
  <c r="B124" i="15" s="1"/>
  <c r="B23" i="15"/>
  <c r="L98" i="14"/>
  <c r="L93" i="14"/>
  <c r="L88" i="14"/>
  <c r="L83" i="14"/>
  <c r="L78" i="14"/>
  <c r="L73" i="14"/>
  <c r="L68" i="14"/>
  <c r="L63" i="14"/>
  <c r="L58" i="14"/>
  <c r="L53" i="14"/>
  <c r="L48" i="14"/>
  <c r="L43" i="14"/>
  <c r="L38" i="14"/>
  <c r="L33" i="14"/>
  <c r="L28" i="14"/>
  <c r="K98" i="14"/>
  <c r="K93" i="14"/>
  <c r="K88" i="14"/>
  <c r="K83" i="14"/>
  <c r="K78" i="14"/>
  <c r="K73" i="14"/>
  <c r="K68" i="14"/>
  <c r="K63" i="14"/>
  <c r="K58" i="14"/>
  <c r="K53" i="14"/>
  <c r="K48" i="14"/>
  <c r="K43" i="14"/>
  <c r="K38" i="14"/>
  <c r="K33" i="14"/>
  <c r="K28" i="14"/>
  <c r="J98" i="14"/>
  <c r="J93" i="14"/>
  <c r="J88" i="14"/>
  <c r="J83" i="14"/>
  <c r="J78" i="14"/>
  <c r="J73" i="14"/>
  <c r="J68" i="14"/>
  <c r="J63" i="14"/>
  <c r="J58" i="14"/>
  <c r="J53" i="14"/>
  <c r="J48" i="14"/>
  <c r="J43" i="14"/>
  <c r="J38" i="14"/>
  <c r="J33" i="14"/>
  <c r="J28" i="14"/>
  <c r="I98" i="14"/>
  <c r="I93" i="14"/>
  <c r="I88" i="14"/>
  <c r="I83" i="14"/>
  <c r="I78" i="14"/>
  <c r="I73" i="14"/>
  <c r="I68" i="14"/>
  <c r="I63" i="14"/>
  <c r="I58" i="14"/>
  <c r="I53" i="14"/>
  <c r="I48" i="14"/>
  <c r="I43" i="14"/>
  <c r="I38" i="14"/>
  <c r="I33" i="14"/>
  <c r="I28" i="14"/>
  <c r="H98" i="14"/>
  <c r="H93" i="14"/>
  <c r="H88" i="14"/>
  <c r="H83" i="14"/>
  <c r="H78" i="14"/>
  <c r="H73" i="14"/>
  <c r="H68" i="14"/>
  <c r="H63" i="14"/>
  <c r="H58" i="14"/>
  <c r="H53" i="14"/>
  <c r="H48" i="14"/>
  <c r="H43" i="14"/>
  <c r="H38" i="14"/>
  <c r="H33" i="14"/>
  <c r="H28" i="14"/>
  <c r="G98" i="14"/>
  <c r="G93" i="14"/>
  <c r="G88" i="14"/>
  <c r="G83" i="14"/>
  <c r="G78" i="14"/>
  <c r="G73" i="14"/>
  <c r="G68" i="14"/>
  <c r="G63" i="14"/>
  <c r="G58" i="14"/>
  <c r="G53" i="14"/>
  <c r="G48" i="14"/>
  <c r="G43" i="14"/>
  <c r="G38" i="14"/>
  <c r="G33" i="14"/>
  <c r="G28" i="14"/>
  <c r="F98" i="14"/>
  <c r="F93" i="14"/>
  <c r="F88" i="14"/>
  <c r="F83" i="14"/>
  <c r="F78" i="14"/>
  <c r="F73" i="14"/>
  <c r="F68" i="14"/>
  <c r="F63" i="14"/>
  <c r="F58" i="14"/>
  <c r="F53" i="14"/>
  <c r="F48" i="14"/>
  <c r="F43" i="14"/>
  <c r="F38" i="14"/>
  <c r="F33" i="14"/>
  <c r="F28" i="14"/>
  <c r="E98" i="14"/>
  <c r="E93" i="14"/>
  <c r="E88" i="14"/>
  <c r="E83" i="14"/>
  <c r="E78" i="14"/>
  <c r="E73" i="14"/>
  <c r="E68" i="14"/>
  <c r="E63" i="14"/>
  <c r="E58" i="14"/>
  <c r="E53" i="14"/>
  <c r="E48" i="14"/>
  <c r="E43" i="14"/>
  <c r="E38" i="14"/>
  <c r="E33" i="14"/>
  <c r="E28" i="14"/>
  <c r="D98" i="14"/>
  <c r="D93" i="14"/>
  <c r="D88" i="14"/>
  <c r="D83" i="14"/>
  <c r="D78" i="14"/>
  <c r="D73" i="14"/>
  <c r="D68" i="14"/>
  <c r="D63" i="14"/>
  <c r="D58" i="14"/>
  <c r="D53" i="14"/>
  <c r="D48" i="14"/>
  <c r="D43" i="14"/>
  <c r="D38" i="14"/>
  <c r="D33" i="14"/>
  <c r="D28" i="14"/>
  <c r="C98" i="14"/>
  <c r="B99" i="14" s="1"/>
  <c r="P124" i="14" s="1"/>
  <c r="C93" i="14"/>
  <c r="B94" i="14" s="1"/>
  <c r="O124" i="14" s="1"/>
  <c r="C88" i="14"/>
  <c r="B89" i="14" s="1"/>
  <c r="N124" i="14" s="1"/>
  <c r="C83" i="14"/>
  <c r="B84" i="14" s="1"/>
  <c r="M124" i="14" s="1"/>
  <c r="C78" i="14"/>
  <c r="B79" i="14" s="1"/>
  <c r="L124" i="14" s="1"/>
  <c r="C73" i="14"/>
  <c r="B74" i="14" s="1"/>
  <c r="K124" i="14" s="1"/>
  <c r="C68" i="14"/>
  <c r="B69" i="14" s="1"/>
  <c r="J124" i="14" s="1"/>
  <c r="C63" i="14"/>
  <c r="B64" i="14" s="1"/>
  <c r="I124" i="14" s="1"/>
  <c r="C58" i="14"/>
  <c r="B59" i="14" s="1"/>
  <c r="H124" i="14" s="1"/>
  <c r="C53" i="14"/>
  <c r="B54" i="14" s="1"/>
  <c r="G124" i="14" s="1"/>
  <c r="C48" i="14"/>
  <c r="B49" i="14" s="1"/>
  <c r="F124" i="14" s="1"/>
  <c r="C43" i="14"/>
  <c r="B44" i="14" s="1"/>
  <c r="E124" i="14" s="1"/>
  <c r="C38" i="14"/>
  <c r="B39" i="14" s="1"/>
  <c r="D124" i="14" s="1"/>
  <c r="C33" i="14"/>
  <c r="B34" i="14" s="1"/>
  <c r="C124" i="14" s="1"/>
  <c r="C28" i="14"/>
  <c r="B29" i="14" s="1"/>
  <c r="B124" i="14" s="1"/>
  <c r="B23" i="14"/>
  <c r="L98" i="13"/>
  <c r="L93" i="13"/>
  <c r="L88" i="13"/>
  <c r="L83" i="13"/>
  <c r="L78" i="13"/>
  <c r="L73" i="13"/>
  <c r="L68" i="13"/>
  <c r="L63" i="13"/>
  <c r="L58" i="13"/>
  <c r="L53" i="13"/>
  <c r="L48" i="13"/>
  <c r="L43" i="13"/>
  <c r="L38" i="13"/>
  <c r="L33" i="13"/>
  <c r="L28" i="13"/>
  <c r="K98" i="13"/>
  <c r="K93" i="13"/>
  <c r="K88" i="13"/>
  <c r="K83" i="13"/>
  <c r="K78" i="13"/>
  <c r="K73" i="13"/>
  <c r="K68" i="13"/>
  <c r="K63" i="13"/>
  <c r="K58" i="13"/>
  <c r="K53" i="13"/>
  <c r="K48" i="13"/>
  <c r="K43" i="13"/>
  <c r="K38" i="13"/>
  <c r="K33" i="13"/>
  <c r="K28" i="13"/>
  <c r="J98" i="13"/>
  <c r="J93" i="13"/>
  <c r="J88" i="13"/>
  <c r="J83" i="13"/>
  <c r="J78" i="13"/>
  <c r="J73" i="13"/>
  <c r="J68" i="13"/>
  <c r="J63" i="13"/>
  <c r="J58" i="13"/>
  <c r="J53" i="13"/>
  <c r="J48" i="13"/>
  <c r="J43" i="13"/>
  <c r="J38" i="13"/>
  <c r="J33" i="13"/>
  <c r="J28" i="13"/>
  <c r="I98" i="13"/>
  <c r="I93" i="13"/>
  <c r="I88" i="13"/>
  <c r="I83" i="13"/>
  <c r="I78" i="13"/>
  <c r="I73" i="13"/>
  <c r="I68" i="13"/>
  <c r="I63" i="13"/>
  <c r="I58" i="13"/>
  <c r="I53" i="13"/>
  <c r="I48" i="13"/>
  <c r="I43" i="13"/>
  <c r="I38" i="13"/>
  <c r="I33" i="13"/>
  <c r="I28" i="13"/>
  <c r="H98" i="13"/>
  <c r="H93" i="13"/>
  <c r="H88" i="13"/>
  <c r="H83" i="13"/>
  <c r="H78" i="13"/>
  <c r="H73" i="13"/>
  <c r="H68" i="13"/>
  <c r="H63" i="13"/>
  <c r="H58" i="13"/>
  <c r="H53" i="13"/>
  <c r="H48" i="13"/>
  <c r="H43" i="13"/>
  <c r="H38" i="13"/>
  <c r="H33" i="13"/>
  <c r="H28" i="13"/>
  <c r="G98" i="13"/>
  <c r="G93" i="13"/>
  <c r="G88" i="13"/>
  <c r="G83" i="13"/>
  <c r="G78" i="13"/>
  <c r="G73" i="13"/>
  <c r="G68" i="13"/>
  <c r="G63" i="13"/>
  <c r="G58" i="13"/>
  <c r="G53" i="13"/>
  <c r="G48" i="13"/>
  <c r="G43" i="13"/>
  <c r="G38" i="13"/>
  <c r="G33" i="13"/>
  <c r="G28" i="13"/>
  <c r="F98" i="13"/>
  <c r="F93" i="13"/>
  <c r="F88" i="13"/>
  <c r="F83" i="13"/>
  <c r="F78" i="13"/>
  <c r="F73" i="13"/>
  <c r="F68" i="13"/>
  <c r="F63" i="13"/>
  <c r="F58" i="13"/>
  <c r="F53" i="13"/>
  <c r="F48" i="13"/>
  <c r="F43" i="13"/>
  <c r="F38" i="13"/>
  <c r="F33" i="13"/>
  <c r="F28" i="13"/>
  <c r="E98" i="13"/>
  <c r="E93" i="13"/>
  <c r="E88" i="13"/>
  <c r="E83" i="13"/>
  <c r="E78" i="13"/>
  <c r="E73" i="13"/>
  <c r="E68" i="13"/>
  <c r="E63" i="13"/>
  <c r="E58" i="13"/>
  <c r="E53" i="13"/>
  <c r="E48" i="13"/>
  <c r="E43" i="13"/>
  <c r="E38" i="13"/>
  <c r="E33" i="13"/>
  <c r="E28" i="13"/>
  <c r="D98" i="13"/>
  <c r="D93" i="13"/>
  <c r="D88" i="13"/>
  <c r="D83" i="13"/>
  <c r="D78" i="13"/>
  <c r="D73" i="13"/>
  <c r="D68" i="13"/>
  <c r="D63" i="13"/>
  <c r="D58" i="13"/>
  <c r="D53" i="13"/>
  <c r="D48" i="13"/>
  <c r="D43" i="13"/>
  <c r="D38" i="13"/>
  <c r="D33" i="13"/>
  <c r="D28" i="13"/>
  <c r="C98" i="13"/>
  <c r="B99" i="13" s="1"/>
  <c r="P124" i="13" s="1"/>
  <c r="C93" i="13"/>
  <c r="B94" i="13" s="1"/>
  <c r="O124" i="13" s="1"/>
  <c r="C88" i="13"/>
  <c r="B89" i="13" s="1"/>
  <c r="N124" i="13" s="1"/>
  <c r="C83" i="13"/>
  <c r="B84" i="13" s="1"/>
  <c r="M124" i="13" s="1"/>
  <c r="C78" i="13"/>
  <c r="B79" i="13" s="1"/>
  <c r="L124" i="13" s="1"/>
  <c r="C73" i="13"/>
  <c r="B74" i="13" s="1"/>
  <c r="K124" i="13" s="1"/>
  <c r="C68" i="13"/>
  <c r="B69" i="13" s="1"/>
  <c r="J124" i="13" s="1"/>
  <c r="C63" i="13"/>
  <c r="B64" i="13" s="1"/>
  <c r="I124" i="13" s="1"/>
  <c r="C58" i="13"/>
  <c r="B59" i="13" s="1"/>
  <c r="H124" i="13" s="1"/>
  <c r="C53" i="13"/>
  <c r="B54" i="13" s="1"/>
  <c r="G124" i="13" s="1"/>
  <c r="C48" i="13"/>
  <c r="B49" i="13" s="1"/>
  <c r="F124" i="13" s="1"/>
  <c r="C43" i="13"/>
  <c r="B44" i="13" s="1"/>
  <c r="E124" i="13" s="1"/>
  <c r="C38" i="13"/>
  <c r="B39" i="13" s="1"/>
  <c r="D124" i="13" s="1"/>
  <c r="C33" i="13"/>
  <c r="B34" i="13" s="1"/>
  <c r="C124" i="13" s="1"/>
  <c r="C28" i="13"/>
  <c r="B29" i="13" s="1"/>
  <c r="B124" i="13" s="1"/>
  <c r="B23" i="13"/>
  <c r="L98" i="12"/>
  <c r="L93" i="12"/>
  <c r="L88" i="12"/>
  <c r="L83" i="12"/>
  <c r="L78" i="12"/>
  <c r="L73" i="12"/>
  <c r="L68" i="12"/>
  <c r="L63" i="12"/>
  <c r="L58" i="12"/>
  <c r="L53" i="12"/>
  <c r="L48" i="12"/>
  <c r="L43" i="12"/>
  <c r="L38" i="12"/>
  <c r="L33" i="12"/>
  <c r="L28" i="12"/>
  <c r="K98" i="12"/>
  <c r="K93" i="12"/>
  <c r="K88" i="12"/>
  <c r="K83" i="12"/>
  <c r="K78" i="12"/>
  <c r="K73" i="12"/>
  <c r="K68" i="12"/>
  <c r="K63" i="12"/>
  <c r="K58" i="12"/>
  <c r="K53" i="12"/>
  <c r="K48" i="12"/>
  <c r="K43" i="12"/>
  <c r="K38" i="12"/>
  <c r="K33" i="12"/>
  <c r="K28" i="12"/>
  <c r="J98" i="12"/>
  <c r="J93" i="12"/>
  <c r="J88" i="12"/>
  <c r="J83" i="12"/>
  <c r="J78" i="12"/>
  <c r="J73" i="12"/>
  <c r="J68" i="12"/>
  <c r="J63" i="12"/>
  <c r="J58" i="12"/>
  <c r="J53" i="12"/>
  <c r="J48" i="12"/>
  <c r="J43" i="12"/>
  <c r="J38" i="12"/>
  <c r="J33" i="12"/>
  <c r="J28" i="12"/>
  <c r="I98" i="12"/>
  <c r="I93" i="12"/>
  <c r="I88" i="12"/>
  <c r="I83" i="12"/>
  <c r="I78" i="12"/>
  <c r="I73" i="12"/>
  <c r="I68" i="12"/>
  <c r="I63" i="12"/>
  <c r="I58" i="12"/>
  <c r="I53" i="12"/>
  <c r="I48" i="12"/>
  <c r="I43" i="12"/>
  <c r="I38" i="12"/>
  <c r="I33" i="12"/>
  <c r="I28" i="12"/>
  <c r="H98" i="12"/>
  <c r="H93" i="12"/>
  <c r="H88" i="12"/>
  <c r="H83" i="12"/>
  <c r="H78" i="12"/>
  <c r="H73" i="12"/>
  <c r="H68" i="12"/>
  <c r="H63" i="12"/>
  <c r="H58" i="12"/>
  <c r="H53" i="12"/>
  <c r="H48" i="12"/>
  <c r="H43" i="12"/>
  <c r="H38" i="12"/>
  <c r="H33" i="12"/>
  <c r="H28" i="12"/>
  <c r="G98" i="12"/>
  <c r="G93" i="12"/>
  <c r="G88" i="12"/>
  <c r="G83" i="12"/>
  <c r="G78" i="12"/>
  <c r="G73" i="12"/>
  <c r="G68" i="12"/>
  <c r="G63" i="12"/>
  <c r="G58" i="12"/>
  <c r="G53" i="12"/>
  <c r="G48" i="12"/>
  <c r="G43" i="12"/>
  <c r="G38" i="12"/>
  <c r="G33" i="12"/>
  <c r="G28" i="12"/>
  <c r="F98" i="12"/>
  <c r="F93" i="12"/>
  <c r="F88" i="12"/>
  <c r="F83" i="12"/>
  <c r="F78" i="12"/>
  <c r="F73" i="12"/>
  <c r="F68" i="12"/>
  <c r="F63" i="12"/>
  <c r="F58" i="12"/>
  <c r="F53" i="12"/>
  <c r="F48" i="12"/>
  <c r="F43" i="12"/>
  <c r="F38" i="12"/>
  <c r="F33" i="12"/>
  <c r="F28" i="12"/>
  <c r="E98" i="12"/>
  <c r="E93" i="12"/>
  <c r="E88" i="12"/>
  <c r="E83" i="12"/>
  <c r="E78" i="12"/>
  <c r="E73" i="12"/>
  <c r="E68" i="12"/>
  <c r="E63" i="12"/>
  <c r="E58" i="12"/>
  <c r="E53" i="12"/>
  <c r="E48" i="12"/>
  <c r="E43" i="12"/>
  <c r="E38" i="12"/>
  <c r="E33" i="12"/>
  <c r="E28" i="12"/>
  <c r="D98" i="12"/>
  <c r="D93" i="12"/>
  <c r="D88" i="12"/>
  <c r="D83" i="12"/>
  <c r="D78" i="12"/>
  <c r="D73" i="12"/>
  <c r="D68" i="12"/>
  <c r="D63" i="12"/>
  <c r="D58" i="12"/>
  <c r="D53" i="12"/>
  <c r="D48" i="12"/>
  <c r="D43" i="12"/>
  <c r="D38" i="12"/>
  <c r="D33" i="12"/>
  <c r="D28" i="12"/>
  <c r="C98" i="12"/>
  <c r="B99" i="12" s="1"/>
  <c r="P124" i="12" s="1"/>
  <c r="C93" i="12"/>
  <c r="B94" i="12" s="1"/>
  <c r="O124" i="12" s="1"/>
  <c r="C88" i="12"/>
  <c r="B89" i="12" s="1"/>
  <c r="N124" i="12" s="1"/>
  <c r="C83" i="12"/>
  <c r="B84" i="12" s="1"/>
  <c r="M124" i="12" s="1"/>
  <c r="C78" i="12"/>
  <c r="B79" i="12" s="1"/>
  <c r="L124" i="12" s="1"/>
  <c r="C73" i="12"/>
  <c r="B74" i="12" s="1"/>
  <c r="K124" i="12" s="1"/>
  <c r="C68" i="12"/>
  <c r="B69" i="12" s="1"/>
  <c r="J124" i="12" s="1"/>
  <c r="C63" i="12"/>
  <c r="B64" i="12" s="1"/>
  <c r="I124" i="12" s="1"/>
  <c r="C58" i="12"/>
  <c r="B59" i="12" s="1"/>
  <c r="H124" i="12" s="1"/>
  <c r="C53" i="12"/>
  <c r="B54" i="12" s="1"/>
  <c r="G124" i="12" s="1"/>
  <c r="C48" i="12"/>
  <c r="B49" i="12" s="1"/>
  <c r="F124" i="12" s="1"/>
  <c r="C43" i="12"/>
  <c r="B44" i="12" s="1"/>
  <c r="E124" i="12" s="1"/>
  <c r="C38" i="12"/>
  <c r="B39" i="12" s="1"/>
  <c r="D124" i="12" s="1"/>
  <c r="C33" i="12"/>
  <c r="B34" i="12" s="1"/>
  <c r="C124" i="12" s="1"/>
  <c r="C28" i="12"/>
  <c r="B29" i="12" s="1"/>
  <c r="B124" i="12" s="1"/>
  <c r="B23" i="12"/>
  <c r="L98" i="10"/>
  <c r="L93" i="10"/>
  <c r="L88" i="10"/>
  <c r="L83" i="10"/>
  <c r="L78" i="10"/>
  <c r="L73" i="10"/>
  <c r="L68" i="10"/>
  <c r="L63" i="10"/>
  <c r="L58" i="10"/>
  <c r="L53" i="10"/>
  <c r="L48" i="10"/>
  <c r="L43" i="10"/>
  <c r="L38" i="10"/>
  <c r="L33" i="10"/>
  <c r="L28" i="10"/>
  <c r="K98" i="10"/>
  <c r="K93" i="10"/>
  <c r="K88" i="10"/>
  <c r="K83" i="10"/>
  <c r="K78" i="10"/>
  <c r="K73" i="10"/>
  <c r="K68" i="10"/>
  <c r="K63" i="10"/>
  <c r="K58" i="10"/>
  <c r="K53" i="10"/>
  <c r="K48" i="10"/>
  <c r="K43" i="10"/>
  <c r="K38" i="10"/>
  <c r="K33" i="10"/>
  <c r="K28" i="10"/>
  <c r="J98" i="10"/>
  <c r="J93" i="10"/>
  <c r="J88" i="10"/>
  <c r="J83" i="10"/>
  <c r="J78" i="10"/>
  <c r="J73" i="10"/>
  <c r="J68" i="10"/>
  <c r="J63" i="10"/>
  <c r="J58" i="10"/>
  <c r="J53" i="10"/>
  <c r="J48" i="10"/>
  <c r="J43" i="10"/>
  <c r="J38" i="10"/>
  <c r="J33" i="10"/>
  <c r="J28" i="10"/>
  <c r="I98" i="10"/>
  <c r="I93" i="10"/>
  <c r="I88" i="10"/>
  <c r="I83" i="10"/>
  <c r="I78" i="10"/>
  <c r="I73" i="10"/>
  <c r="I68" i="10"/>
  <c r="I63" i="10"/>
  <c r="I58" i="10"/>
  <c r="I53" i="10"/>
  <c r="I48" i="10"/>
  <c r="I43" i="10"/>
  <c r="I38" i="10"/>
  <c r="I33" i="10"/>
  <c r="I28" i="10"/>
  <c r="H98" i="10"/>
  <c r="H93" i="10"/>
  <c r="H88" i="10"/>
  <c r="H83" i="10"/>
  <c r="H78" i="10"/>
  <c r="H73" i="10"/>
  <c r="H68" i="10"/>
  <c r="H63" i="10"/>
  <c r="H58" i="10"/>
  <c r="H53" i="10"/>
  <c r="H48" i="10"/>
  <c r="H43" i="10"/>
  <c r="H38" i="10"/>
  <c r="H33" i="10"/>
  <c r="H28" i="10"/>
  <c r="G98" i="10"/>
  <c r="G93" i="10"/>
  <c r="G88" i="10"/>
  <c r="G83" i="10"/>
  <c r="G78" i="10"/>
  <c r="G73" i="10"/>
  <c r="G68" i="10"/>
  <c r="G63" i="10"/>
  <c r="G58" i="10"/>
  <c r="G53" i="10"/>
  <c r="G48" i="10"/>
  <c r="G43" i="10"/>
  <c r="G38" i="10"/>
  <c r="G33" i="10"/>
  <c r="G28" i="10"/>
  <c r="F98" i="10"/>
  <c r="F93" i="10"/>
  <c r="F88" i="10"/>
  <c r="F83" i="10"/>
  <c r="F78" i="10"/>
  <c r="F73" i="10"/>
  <c r="F68" i="10"/>
  <c r="F63" i="10"/>
  <c r="F58" i="10"/>
  <c r="F53" i="10"/>
  <c r="F48" i="10"/>
  <c r="F43" i="10"/>
  <c r="F38" i="10"/>
  <c r="F33" i="10"/>
  <c r="F28" i="10"/>
  <c r="E98" i="10"/>
  <c r="E93" i="10"/>
  <c r="E88" i="10"/>
  <c r="E83" i="10"/>
  <c r="E78" i="10"/>
  <c r="E73" i="10"/>
  <c r="E68" i="10"/>
  <c r="E63" i="10"/>
  <c r="E58" i="10"/>
  <c r="E53" i="10"/>
  <c r="E48" i="10"/>
  <c r="E43" i="10"/>
  <c r="E38" i="10"/>
  <c r="E33" i="10"/>
  <c r="E28" i="10"/>
  <c r="D98" i="10"/>
  <c r="D93" i="10"/>
  <c r="D88" i="10"/>
  <c r="D83" i="10"/>
  <c r="D78" i="10"/>
  <c r="D73" i="10"/>
  <c r="D68" i="10"/>
  <c r="D63" i="10"/>
  <c r="D58" i="10"/>
  <c r="D53" i="10"/>
  <c r="D48" i="10"/>
  <c r="D43" i="10"/>
  <c r="D38" i="10"/>
  <c r="D33" i="10"/>
  <c r="D28" i="10"/>
  <c r="C98" i="10"/>
  <c r="B99" i="10" s="1"/>
  <c r="P124" i="10" s="1"/>
  <c r="C93" i="10"/>
  <c r="B94" i="10" s="1"/>
  <c r="O124" i="10" s="1"/>
  <c r="C88" i="10"/>
  <c r="B89" i="10" s="1"/>
  <c r="N124" i="10" s="1"/>
  <c r="C83" i="10"/>
  <c r="B84" i="10" s="1"/>
  <c r="M124" i="10" s="1"/>
  <c r="C78" i="10"/>
  <c r="B79" i="10" s="1"/>
  <c r="L124" i="10" s="1"/>
  <c r="C73" i="10"/>
  <c r="B74" i="10" s="1"/>
  <c r="K124" i="10" s="1"/>
  <c r="C68" i="10"/>
  <c r="B69" i="10" s="1"/>
  <c r="J124" i="10" s="1"/>
  <c r="C63" i="10"/>
  <c r="B64" i="10" s="1"/>
  <c r="I124" i="10" s="1"/>
  <c r="C58" i="10"/>
  <c r="B59" i="10" s="1"/>
  <c r="H124" i="10" s="1"/>
  <c r="C53" i="10"/>
  <c r="B54" i="10" s="1"/>
  <c r="G124" i="10" s="1"/>
  <c r="C48" i="10"/>
  <c r="B49" i="10" s="1"/>
  <c r="F124" i="10" s="1"/>
  <c r="C43" i="10"/>
  <c r="B44" i="10" s="1"/>
  <c r="E124" i="10" s="1"/>
  <c r="C38" i="10"/>
  <c r="B39" i="10" s="1"/>
  <c r="D124" i="10" s="1"/>
  <c r="C33" i="10"/>
  <c r="B34" i="10" s="1"/>
  <c r="C124" i="10" s="1"/>
  <c r="C28" i="10"/>
  <c r="B29" i="10" s="1"/>
  <c r="B124" i="10" s="1"/>
  <c r="B23" i="10"/>
  <c r="L98" i="11"/>
  <c r="L93" i="11"/>
  <c r="L88" i="11"/>
  <c r="L83" i="11"/>
  <c r="L78" i="11"/>
  <c r="L73" i="11"/>
  <c r="L68" i="11"/>
  <c r="L63" i="11"/>
  <c r="L58" i="11"/>
  <c r="L53" i="11"/>
  <c r="L48" i="11"/>
  <c r="L43" i="11"/>
  <c r="L38" i="11"/>
  <c r="L33" i="11"/>
  <c r="L28" i="11"/>
  <c r="K98" i="11"/>
  <c r="K93" i="11"/>
  <c r="K88" i="11"/>
  <c r="K83" i="11"/>
  <c r="K78" i="11"/>
  <c r="K73" i="11"/>
  <c r="K68" i="11"/>
  <c r="K63" i="11"/>
  <c r="K58" i="11"/>
  <c r="K53" i="11"/>
  <c r="K48" i="11"/>
  <c r="K43" i="11"/>
  <c r="K38" i="11"/>
  <c r="K33" i="11"/>
  <c r="K28" i="11"/>
  <c r="J98" i="11"/>
  <c r="J93" i="11"/>
  <c r="J88" i="11"/>
  <c r="J83" i="11"/>
  <c r="J78" i="11"/>
  <c r="J73" i="11"/>
  <c r="J68" i="11"/>
  <c r="J63" i="11"/>
  <c r="J58" i="11"/>
  <c r="J53" i="11"/>
  <c r="J48" i="11"/>
  <c r="J43" i="11"/>
  <c r="J38" i="11"/>
  <c r="J33" i="11"/>
  <c r="J28" i="11"/>
  <c r="I98" i="11"/>
  <c r="I93" i="11"/>
  <c r="I88" i="11"/>
  <c r="I83" i="11"/>
  <c r="I78" i="11"/>
  <c r="I73" i="11"/>
  <c r="I68" i="11"/>
  <c r="I63" i="11"/>
  <c r="I58" i="11"/>
  <c r="I53" i="11"/>
  <c r="I48" i="11"/>
  <c r="I43" i="11"/>
  <c r="I38" i="11"/>
  <c r="I33" i="11"/>
  <c r="I28" i="11"/>
  <c r="H98" i="11"/>
  <c r="H93" i="11"/>
  <c r="H88" i="11"/>
  <c r="H83" i="11"/>
  <c r="H78" i="11"/>
  <c r="H73" i="11"/>
  <c r="H68" i="11"/>
  <c r="H63" i="11"/>
  <c r="H58" i="11"/>
  <c r="H53" i="11"/>
  <c r="H48" i="11"/>
  <c r="H43" i="11"/>
  <c r="H38" i="11"/>
  <c r="H33" i="11"/>
  <c r="H28" i="11"/>
  <c r="G98" i="11"/>
  <c r="G93" i="11"/>
  <c r="G88" i="11"/>
  <c r="G83" i="11"/>
  <c r="G78" i="11"/>
  <c r="G73" i="11"/>
  <c r="G68" i="11"/>
  <c r="G63" i="11"/>
  <c r="G58" i="11"/>
  <c r="G53" i="11"/>
  <c r="G48" i="11"/>
  <c r="G43" i="11"/>
  <c r="G38" i="11"/>
  <c r="G33" i="11"/>
  <c r="G28" i="11"/>
  <c r="F98" i="11"/>
  <c r="F93" i="11"/>
  <c r="F88" i="11"/>
  <c r="F83" i="11"/>
  <c r="F78" i="11"/>
  <c r="F73" i="11"/>
  <c r="F68" i="11"/>
  <c r="F63" i="11"/>
  <c r="F58" i="11"/>
  <c r="F53" i="11"/>
  <c r="F48" i="11"/>
  <c r="F43" i="11"/>
  <c r="F38" i="11"/>
  <c r="F33" i="11"/>
  <c r="F28" i="11"/>
  <c r="E98" i="11"/>
  <c r="E93" i="11"/>
  <c r="E88" i="11"/>
  <c r="E83" i="11"/>
  <c r="E78" i="11"/>
  <c r="E73" i="11"/>
  <c r="E68" i="11"/>
  <c r="E63" i="11"/>
  <c r="E58" i="11"/>
  <c r="E53" i="11"/>
  <c r="E48" i="11"/>
  <c r="E43" i="11"/>
  <c r="E38" i="11"/>
  <c r="E33" i="11"/>
  <c r="E28" i="11"/>
  <c r="D98" i="11"/>
  <c r="D93" i="11"/>
  <c r="D88" i="11"/>
  <c r="D83" i="11"/>
  <c r="D78" i="11"/>
  <c r="D73" i="11"/>
  <c r="D68" i="11"/>
  <c r="D63" i="11"/>
  <c r="D58" i="11"/>
  <c r="D53" i="11"/>
  <c r="D48" i="11"/>
  <c r="D43" i="11"/>
  <c r="D38" i="11"/>
  <c r="D33" i="11"/>
  <c r="D28" i="11"/>
  <c r="C98" i="11"/>
  <c r="B99" i="11" s="1"/>
  <c r="P124" i="11" s="1"/>
  <c r="C93" i="11"/>
  <c r="B94" i="11" s="1"/>
  <c r="O124" i="11" s="1"/>
  <c r="C88" i="11"/>
  <c r="B89" i="11" s="1"/>
  <c r="N124" i="11" s="1"/>
  <c r="C83" i="11"/>
  <c r="B84" i="11" s="1"/>
  <c r="M124" i="11" s="1"/>
  <c r="C78" i="11"/>
  <c r="B79" i="11" s="1"/>
  <c r="L124" i="11" s="1"/>
  <c r="C73" i="11"/>
  <c r="B74" i="11" s="1"/>
  <c r="K124" i="11" s="1"/>
  <c r="C68" i="11"/>
  <c r="B69" i="11" s="1"/>
  <c r="J124" i="11" s="1"/>
  <c r="C63" i="11"/>
  <c r="B64" i="11" s="1"/>
  <c r="I124" i="11" s="1"/>
  <c r="C58" i="11"/>
  <c r="B59" i="11" s="1"/>
  <c r="H124" i="11" s="1"/>
  <c r="C53" i="11"/>
  <c r="B54" i="11" s="1"/>
  <c r="G124" i="11" s="1"/>
  <c r="C48" i="11"/>
  <c r="B49" i="11" s="1"/>
  <c r="F124" i="11" s="1"/>
  <c r="C43" i="11"/>
  <c r="B44" i="11" s="1"/>
  <c r="E124" i="11" s="1"/>
  <c r="C38" i="11"/>
  <c r="B39" i="11" s="1"/>
  <c r="D124" i="11" s="1"/>
  <c r="C33" i="11"/>
  <c r="B34" i="11" s="1"/>
  <c r="C124" i="11" s="1"/>
  <c r="C28" i="11"/>
  <c r="B29" i="11" s="1"/>
  <c r="B124" i="11" s="1"/>
  <c r="B23" i="11"/>
  <c r="L98" i="7"/>
  <c r="L93" i="7"/>
  <c r="L88" i="7"/>
  <c r="L83" i="7"/>
  <c r="L78" i="7"/>
  <c r="L73" i="7"/>
  <c r="L68" i="7"/>
  <c r="L63" i="7"/>
  <c r="L58" i="7"/>
  <c r="L53" i="7"/>
  <c r="L48" i="7"/>
  <c r="L43" i="7"/>
  <c r="L38" i="7"/>
  <c r="L33" i="7"/>
  <c r="L28" i="7"/>
  <c r="K98" i="7"/>
  <c r="K93" i="7"/>
  <c r="K88" i="7"/>
  <c r="K83" i="7"/>
  <c r="K78" i="7"/>
  <c r="K73" i="7"/>
  <c r="K68" i="7"/>
  <c r="K63" i="7"/>
  <c r="K58" i="7"/>
  <c r="K53" i="7"/>
  <c r="K48" i="7"/>
  <c r="K43" i="7"/>
  <c r="K38" i="7"/>
  <c r="K33" i="7"/>
  <c r="K28" i="7"/>
  <c r="J98" i="7"/>
  <c r="J93" i="7"/>
  <c r="J88" i="7"/>
  <c r="J83" i="7"/>
  <c r="J78" i="7"/>
  <c r="J73" i="7"/>
  <c r="J68" i="7"/>
  <c r="J63" i="7"/>
  <c r="J58" i="7"/>
  <c r="J53" i="7"/>
  <c r="J48" i="7"/>
  <c r="J43" i="7"/>
  <c r="J38" i="7"/>
  <c r="J33" i="7"/>
  <c r="J28" i="7"/>
  <c r="I98" i="7"/>
  <c r="I93" i="7"/>
  <c r="I88" i="7"/>
  <c r="I83" i="7"/>
  <c r="I78" i="7"/>
  <c r="I73" i="7"/>
  <c r="I68" i="7"/>
  <c r="I63" i="7"/>
  <c r="I58" i="7"/>
  <c r="I53" i="7"/>
  <c r="I48" i="7"/>
  <c r="I43" i="7"/>
  <c r="I38" i="7"/>
  <c r="I33" i="7"/>
  <c r="I28" i="7"/>
  <c r="H98" i="7"/>
  <c r="H93" i="7"/>
  <c r="H88" i="7"/>
  <c r="H83" i="7"/>
  <c r="H78" i="7"/>
  <c r="H73" i="7"/>
  <c r="H68" i="7"/>
  <c r="H63" i="7"/>
  <c r="H58" i="7"/>
  <c r="H53" i="7"/>
  <c r="H48" i="7"/>
  <c r="H43" i="7"/>
  <c r="H38" i="7"/>
  <c r="H33" i="7"/>
  <c r="H28" i="7"/>
  <c r="G98" i="7"/>
  <c r="G93" i="7"/>
  <c r="G88" i="7"/>
  <c r="G83" i="7"/>
  <c r="G78" i="7"/>
  <c r="G73" i="7"/>
  <c r="G68" i="7"/>
  <c r="G63" i="7"/>
  <c r="G58" i="7"/>
  <c r="G53" i="7"/>
  <c r="G48" i="7"/>
  <c r="G43" i="7"/>
  <c r="G38" i="7"/>
  <c r="G33" i="7"/>
  <c r="G28" i="7"/>
  <c r="F98" i="7"/>
  <c r="F93" i="7"/>
  <c r="F88" i="7"/>
  <c r="F83" i="7"/>
  <c r="F78" i="7"/>
  <c r="F73" i="7"/>
  <c r="F68" i="7"/>
  <c r="F63" i="7"/>
  <c r="F58" i="7"/>
  <c r="F53" i="7"/>
  <c r="F48" i="7"/>
  <c r="F43" i="7"/>
  <c r="F38" i="7"/>
  <c r="F33" i="7"/>
  <c r="F28" i="7"/>
  <c r="E98" i="7"/>
  <c r="E93" i="7"/>
  <c r="E88" i="7"/>
  <c r="E83" i="7"/>
  <c r="E78" i="7"/>
  <c r="E73" i="7"/>
  <c r="E68" i="7"/>
  <c r="E63" i="7"/>
  <c r="E58" i="7"/>
  <c r="E53" i="7"/>
  <c r="E48" i="7"/>
  <c r="E43" i="7"/>
  <c r="E38" i="7"/>
  <c r="E33" i="7"/>
  <c r="E28" i="7"/>
  <c r="D98" i="7"/>
  <c r="D93" i="7"/>
  <c r="D88" i="7"/>
  <c r="D83" i="7"/>
  <c r="D78" i="7"/>
  <c r="D73" i="7"/>
  <c r="D68" i="7"/>
  <c r="D63" i="7"/>
  <c r="D58" i="7"/>
  <c r="D53" i="7"/>
  <c r="D48" i="7"/>
  <c r="D43" i="7"/>
  <c r="D38" i="7"/>
  <c r="D33" i="7"/>
  <c r="D28" i="7"/>
  <c r="C98" i="7"/>
  <c r="B99" i="7" s="1"/>
  <c r="P124" i="7" s="1"/>
  <c r="C93" i="7"/>
  <c r="B94" i="7" s="1"/>
  <c r="O124" i="7" s="1"/>
  <c r="C88" i="7"/>
  <c r="B89" i="7" s="1"/>
  <c r="N124" i="7" s="1"/>
  <c r="C83" i="7"/>
  <c r="B84" i="7" s="1"/>
  <c r="M124" i="7" s="1"/>
  <c r="C78" i="7"/>
  <c r="B79" i="7" s="1"/>
  <c r="L124" i="7" s="1"/>
  <c r="C73" i="7"/>
  <c r="B74" i="7" s="1"/>
  <c r="K124" i="7" s="1"/>
  <c r="C68" i="7"/>
  <c r="B69" i="7" s="1"/>
  <c r="J124" i="7" s="1"/>
  <c r="C63" i="7"/>
  <c r="B64" i="7" s="1"/>
  <c r="I124" i="7" s="1"/>
  <c r="C58" i="7"/>
  <c r="B59" i="7" s="1"/>
  <c r="H124" i="7" s="1"/>
  <c r="C53" i="7"/>
  <c r="B54" i="7" s="1"/>
  <c r="G124" i="7" s="1"/>
  <c r="C48" i="7"/>
  <c r="B49" i="7" s="1"/>
  <c r="F124" i="7" s="1"/>
  <c r="C43" i="7"/>
  <c r="B44" i="7" s="1"/>
  <c r="E124" i="7" s="1"/>
  <c r="C38" i="7"/>
  <c r="B39" i="7" s="1"/>
  <c r="D124" i="7" s="1"/>
  <c r="C33" i="7"/>
  <c r="B34" i="7" s="1"/>
  <c r="C124" i="7" s="1"/>
  <c r="C28" i="7"/>
  <c r="B29" i="7" s="1"/>
  <c r="B124" i="7" s="1"/>
  <c r="B23" i="7"/>
  <c r="L98" i="9"/>
  <c r="L93" i="9"/>
  <c r="L88" i="9"/>
  <c r="L83" i="9"/>
  <c r="L78" i="9"/>
  <c r="L73" i="9"/>
  <c r="L68" i="9"/>
  <c r="L63" i="9"/>
  <c r="L58" i="9"/>
  <c r="L53" i="9"/>
  <c r="L48" i="9"/>
  <c r="L43" i="9"/>
  <c r="L38" i="9"/>
  <c r="L33" i="9"/>
  <c r="L28" i="9"/>
  <c r="K98" i="9"/>
  <c r="K93" i="9"/>
  <c r="K88" i="9"/>
  <c r="K83" i="9"/>
  <c r="K78" i="9"/>
  <c r="K73" i="9"/>
  <c r="K68" i="9"/>
  <c r="K63" i="9"/>
  <c r="K58" i="9"/>
  <c r="K53" i="9"/>
  <c r="K48" i="9"/>
  <c r="K43" i="9"/>
  <c r="K38" i="9"/>
  <c r="K33" i="9"/>
  <c r="K28" i="9"/>
  <c r="J98" i="9"/>
  <c r="J93" i="9"/>
  <c r="J88" i="9"/>
  <c r="J83" i="9"/>
  <c r="J78" i="9"/>
  <c r="J73" i="9"/>
  <c r="J68" i="9"/>
  <c r="J63" i="9"/>
  <c r="J58" i="9"/>
  <c r="J53" i="9"/>
  <c r="J48" i="9"/>
  <c r="J43" i="9"/>
  <c r="J38" i="9"/>
  <c r="J33" i="9"/>
  <c r="J28" i="9"/>
  <c r="I98" i="9"/>
  <c r="I93" i="9"/>
  <c r="I88" i="9"/>
  <c r="I83" i="9"/>
  <c r="I78" i="9"/>
  <c r="I73" i="9"/>
  <c r="I68" i="9"/>
  <c r="I63" i="9"/>
  <c r="I58" i="9"/>
  <c r="I53" i="9"/>
  <c r="I48" i="9"/>
  <c r="I43" i="9"/>
  <c r="I38" i="9"/>
  <c r="I33" i="9"/>
  <c r="I28" i="9"/>
  <c r="H98" i="9"/>
  <c r="H93" i="9"/>
  <c r="H88" i="9"/>
  <c r="H83" i="9"/>
  <c r="H78" i="9"/>
  <c r="H73" i="9"/>
  <c r="H68" i="9"/>
  <c r="H63" i="9"/>
  <c r="H58" i="9"/>
  <c r="H53" i="9"/>
  <c r="H48" i="9"/>
  <c r="H43" i="9"/>
  <c r="H38" i="9"/>
  <c r="H33" i="9"/>
  <c r="H28" i="9"/>
  <c r="G98" i="9"/>
  <c r="G93" i="9"/>
  <c r="G88" i="9"/>
  <c r="G83" i="9"/>
  <c r="G78" i="9"/>
  <c r="G73" i="9"/>
  <c r="G68" i="9"/>
  <c r="G63" i="9"/>
  <c r="G58" i="9"/>
  <c r="G53" i="9"/>
  <c r="G48" i="9"/>
  <c r="G43" i="9"/>
  <c r="G38" i="9"/>
  <c r="G33" i="9"/>
  <c r="G28" i="9"/>
  <c r="F98" i="9"/>
  <c r="F93" i="9"/>
  <c r="F88" i="9"/>
  <c r="F83" i="9"/>
  <c r="F78" i="9"/>
  <c r="F73" i="9"/>
  <c r="F68" i="9"/>
  <c r="F63" i="9"/>
  <c r="F58" i="9"/>
  <c r="F53" i="9"/>
  <c r="F48" i="9"/>
  <c r="F43" i="9"/>
  <c r="F38" i="9"/>
  <c r="F33" i="9"/>
  <c r="F28" i="9"/>
  <c r="E98" i="9"/>
  <c r="E93" i="9"/>
  <c r="E88" i="9"/>
  <c r="E83" i="9"/>
  <c r="E78" i="9"/>
  <c r="E73" i="9"/>
  <c r="E68" i="9"/>
  <c r="E63" i="9"/>
  <c r="E58" i="9"/>
  <c r="E53" i="9"/>
  <c r="E48" i="9"/>
  <c r="E43" i="9"/>
  <c r="E38" i="9"/>
  <c r="E33" i="9"/>
  <c r="E28" i="9"/>
  <c r="D98" i="9"/>
  <c r="D93" i="9"/>
  <c r="D88" i="9"/>
  <c r="D83" i="9"/>
  <c r="D78" i="9"/>
  <c r="D73" i="9"/>
  <c r="D68" i="9"/>
  <c r="D63" i="9"/>
  <c r="D58" i="9"/>
  <c r="D53" i="9"/>
  <c r="D48" i="9"/>
  <c r="D43" i="9"/>
  <c r="D38" i="9"/>
  <c r="D33" i="9"/>
  <c r="D28" i="9"/>
  <c r="C98" i="9"/>
  <c r="B99" i="9" s="1"/>
  <c r="P124" i="9" s="1"/>
  <c r="C93" i="9"/>
  <c r="B94" i="9" s="1"/>
  <c r="O124" i="9" s="1"/>
  <c r="C88" i="9"/>
  <c r="B89" i="9" s="1"/>
  <c r="N124" i="9" s="1"/>
  <c r="C83" i="9"/>
  <c r="B84" i="9" s="1"/>
  <c r="M124" i="9" s="1"/>
  <c r="C78" i="9"/>
  <c r="B79" i="9" s="1"/>
  <c r="L124" i="9" s="1"/>
  <c r="C73" i="9"/>
  <c r="B74" i="9" s="1"/>
  <c r="K124" i="9" s="1"/>
  <c r="C68" i="9"/>
  <c r="B69" i="9" s="1"/>
  <c r="J124" i="9" s="1"/>
  <c r="C63" i="9"/>
  <c r="B64" i="9" s="1"/>
  <c r="I124" i="9" s="1"/>
  <c r="C58" i="9"/>
  <c r="B59" i="9" s="1"/>
  <c r="H124" i="9" s="1"/>
  <c r="C53" i="9"/>
  <c r="B54" i="9" s="1"/>
  <c r="G124" i="9" s="1"/>
  <c r="C48" i="9"/>
  <c r="B49" i="9" s="1"/>
  <c r="F124" i="9" s="1"/>
  <c r="C43" i="9"/>
  <c r="B44" i="9" s="1"/>
  <c r="E124" i="9" s="1"/>
  <c r="C38" i="9"/>
  <c r="B39" i="9" s="1"/>
  <c r="D124" i="9" s="1"/>
  <c r="C33" i="9"/>
  <c r="B34" i="9" s="1"/>
  <c r="C124" i="9" s="1"/>
  <c r="C28" i="9"/>
  <c r="B29" i="9" s="1"/>
  <c r="B124" i="9" s="1"/>
  <c r="B23" i="9"/>
  <c r="L98" i="8"/>
  <c r="L93" i="8"/>
  <c r="L88" i="8"/>
  <c r="L83" i="8"/>
  <c r="L78" i="8"/>
  <c r="L73" i="8"/>
  <c r="L68" i="8"/>
  <c r="L63" i="8"/>
  <c r="L58" i="8"/>
  <c r="L53" i="8"/>
  <c r="L48" i="8"/>
  <c r="L43" i="8"/>
  <c r="L38" i="8"/>
  <c r="L33" i="8"/>
  <c r="L28" i="8"/>
  <c r="K98" i="8"/>
  <c r="K93" i="8"/>
  <c r="K88" i="8"/>
  <c r="K83" i="8"/>
  <c r="K78" i="8"/>
  <c r="K73" i="8"/>
  <c r="K68" i="8"/>
  <c r="K63" i="8"/>
  <c r="K58" i="8"/>
  <c r="K53" i="8"/>
  <c r="K48" i="8"/>
  <c r="K43" i="8"/>
  <c r="K38" i="8"/>
  <c r="K33" i="8"/>
  <c r="K28" i="8"/>
  <c r="J98" i="8"/>
  <c r="J93" i="8"/>
  <c r="J88" i="8"/>
  <c r="J83" i="8"/>
  <c r="J78" i="8"/>
  <c r="J73" i="8"/>
  <c r="J68" i="8"/>
  <c r="J63" i="8"/>
  <c r="J58" i="8"/>
  <c r="J53" i="8"/>
  <c r="J48" i="8"/>
  <c r="J43" i="8"/>
  <c r="J38" i="8"/>
  <c r="J33" i="8"/>
  <c r="J28" i="8"/>
  <c r="I98" i="8"/>
  <c r="I93" i="8"/>
  <c r="I88" i="8"/>
  <c r="I83" i="8"/>
  <c r="I78" i="8"/>
  <c r="I73" i="8"/>
  <c r="I68" i="8"/>
  <c r="I63" i="8"/>
  <c r="I58" i="8"/>
  <c r="I53" i="8"/>
  <c r="I48" i="8"/>
  <c r="I43" i="8"/>
  <c r="I38" i="8"/>
  <c r="I33" i="8"/>
  <c r="I28" i="8"/>
  <c r="H98" i="8"/>
  <c r="H93" i="8"/>
  <c r="H88" i="8"/>
  <c r="H83" i="8"/>
  <c r="H78" i="8"/>
  <c r="H73" i="8"/>
  <c r="H68" i="8"/>
  <c r="H63" i="8"/>
  <c r="H58" i="8"/>
  <c r="H53" i="8"/>
  <c r="H48" i="8"/>
  <c r="H43" i="8"/>
  <c r="H38" i="8"/>
  <c r="H33" i="8"/>
  <c r="H28" i="8"/>
  <c r="G98" i="8"/>
  <c r="G93" i="8"/>
  <c r="G88" i="8"/>
  <c r="G83" i="8"/>
  <c r="G78" i="8"/>
  <c r="G73" i="8"/>
  <c r="G68" i="8"/>
  <c r="G63" i="8"/>
  <c r="G58" i="8"/>
  <c r="G53" i="8"/>
  <c r="G48" i="8"/>
  <c r="G43" i="8"/>
  <c r="G38" i="8"/>
  <c r="G33" i="8"/>
  <c r="G28" i="8"/>
  <c r="F98" i="8"/>
  <c r="F93" i="8"/>
  <c r="F88" i="8"/>
  <c r="F83" i="8"/>
  <c r="F78" i="8"/>
  <c r="F73" i="8"/>
  <c r="F68" i="8"/>
  <c r="F63" i="8"/>
  <c r="F58" i="8"/>
  <c r="F53" i="8"/>
  <c r="F48" i="8"/>
  <c r="F43" i="8"/>
  <c r="F38" i="8"/>
  <c r="F33" i="8"/>
  <c r="F28" i="8"/>
  <c r="E98" i="8"/>
  <c r="E93" i="8"/>
  <c r="E88" i="8"/>
  <c r="E83" i="8"/>
  <c r="E78" i="8"/>
  <c r="E73" i="8"/>
  <c r="E68" i="8"/>
  <c r="E63" i="8"/>
  <c r="E58" i="8"/>
  <c r="E53" i="8"/>
  <c r="E48" i="8"/>
  <c r="E43" i="8"/>
  <c r="E38" i="8"/>
  <c r="E33" i="8"/>
  <c r="E28" i="8"/>
  <c r="D98" i="8"/>
  <c r="D93" i="8"/>
  <c r="D88" i="8"/>
  <c r="D83" i="8"/>
  <c r="D78" i="8"/>
  <c r="D73" i="8"/>
  <c r="D68" i="8"/>
  <c r="D63" i="8"/>
  <c r="D58" i="8"/>
  <c r="D53" i="8"/>
  <c r="D48" i="8"/>
  <c r="D43" i="8"/>
  <c r="D38" i="8"/>
  <c r="D33" i="8"/>
  <c r="D28" i="8"/>
  <c r="C98" i="8"/>
  <c r="B99" i="8" s="1"/>
  <c r="P124" i="8" s="1"/>
  <c r="C93" i="8"/>
  <c r="B94" i="8" s="1"/>
  <c r="O124" i="8" s="1"/>
  <c r="C88" i="8"/>
  <c r="B89" i="8" s="1"/>
  <c r="N124" i="8" s="1"/>
  <c r="C83" i="8"/>
  <c r="B84" i="8" s="1"/>
  <c r="M124" i="8" s="1"/>
  <c r="C78" i="8"/>
  <c r="B79" i="8" s="1"/>
  <c r="L124" i="8" s="1"/>
  <c r="C73" i="8"/>
  <c r="B74" i="8" s="1"/>
  <c r="K124" i="8" s="1"/>
  <c r="C68" i="8"/>
  <c r="B69" i="8" s="1"/>
  <c r="J124" i="8" s="1"/>
  <c r="C63" i="8"/>
  <c r="B64" i="8" s="1"/>
  <c r="I124" i="8" s="1"/>
  <c r="C58" i="8"/>
  <c r="B59" i="8" s="1"/>
  <c r="H124" i="8" s="1"/>
  <c r="C53" i="8"/>
  <c r="B54" i="8" s="1"/>
  <c r="G124" i="8" s="1"/>
  <c r="C48" i="8"/>
  <c r="B49" i="8" s="1"/>
  <c r="F124" i="8" s="1"/>
  <c r="C43" i="8"/>
  <c r="B44" i="8" s="1"/>
  <c r="E124" i="8" s="1"/>
  <c r="C38" i="8"/>
  <c r="B39" i="8" s="1"/>
  <c r="D124" i="8" s="1"/>
  <c r="C33" i="8"/>
  <c r="B34" i="8" s="1"/>
  <c r="C124" i="8" s="1"/>
  <c r="C28" i="8"/>
  <c r="B29" i="8" s="1"/>
  <c r="B124" i="8" s="1"/>
  <c r="B23" i="8"/>
  <c r="L98" i="5"/>
  <c r="L93" i="5"/>
  <c r="L88" i="5"/>
  <c r="L83" i="5"/>
  <c r="L78" i="5"/>
  <c r="L73" i="5"/>
  <c r="L68" i="5"/>
  <c r="L63" i="5"/>
  <c r="L58" i="5"/>
  <c r="L53" i="5"/>
  <c r="L48" i="5"/>
  <c r="L43" i="5"/>
  <c r="L38" i="5"/>
  <c r="L33" i="5"/>
  <c r="L28" i="5"/>
  <c r="K98" i="5"/>
  <c r="K93" i="5"/>
  <c r="K88" i="5"/>
  <c r="K83" i="5"/>
  <c r="K78" i="5"/>
  <c r="K73" i="5"/>
  <c r="K68" i="5"/>
  <c r="K63" i="5"/>
  <c r="K58" i="5"/>
  <c r="K53" i="5"/>
  <c r="K48" i="5"/>
  <c r="K43" i="5"/>
  <c r="K38" i="5"/>
  <c r="K33" i="5"/>
  <c r="K28" i="5"/>
  <c r="J98" i="5"/>
  <c r="J93" i="5"/>
  <c r="J88" i="5"/>
  <c r="J83" i="5"/>
  <c r="J78" i="5"/>
  <c r="J73" i="5"/>
  <c r="J68" i="5"/>
  <c r="J63" i="5"/>
  <c r="J58" i="5"/>
  <c r="J53" i="5"/>
  <c r="J48" i="5"/>
  <c r="J43" i="5"/>
  <c r="J38" i="5"/>
  <c r="J33" i="5"/>
  <c r="J28" i="5"/>
  <c r="I98" i="5"/>
  <c r="I93" i="5"/>
  <c r="I88" i="5"/>
  <c r="I83" i="5"/>
  <c r="I78" i="5"/>
  <c r="I73" i="5"/>
  <c r="I68" i="5"/>
  <c r="I63" i="5"/>
  <c r="I58" i="5"/>
  <c r="I53" i="5"/>
  <c r="I48" i="5"/>
  <c r="I43" i="5"/>
  <c r="I38" i="5"/>
  <c r="I33" i="5"/>
  <c r="I28" i="5"/>
  <c r="H98" i="5"/>
  <c r="H93" i="5"/>
  <c r="H88" i="5"/>
  <c r="H83" i="5"/>
  <c r="H78" i="5"/>
  <c r="H73" i="5"/>
  <c r="H68" i="5"/>
  <c r="H63" i="5"/>
  <c r="H58" i="5"/>
  <c r="H53" i="5"/>
  <c r="H48" i="5"/>
  <c r="H43" i="5"/>
  <c r="H38" i="5"/>
  <c r="H33" i="5"/>
  <c r="H28" i="5"/>
  <c r="G98" i="5"/>
  <c r="G93" i="5"/>
  <c r="G88" i="5"/>
  <c r="G83" i="5"/>
  <c r="G78" i="5"/>
  <c r="G73" i="5"/>
  <c r="G68" i="5"/>
  <c r="G63" i="5"/>
  <c r="G58" i="5"/>
  <c r="G53" i="5"/>
  <c r="G48" i="5"/>
  <c r="G43" i="5"/>
  <c r="G38" i="5"/>
  <c r="G33" i="5"/>
  <c r="G28" i="5"/>
  <c r="F98" i="5"/>
  <c r="F93" i="5"/>
  <c r="F88" i="5"/>
  <c r="F83" i="5"/>
  <c r="F78" i="5"/>
  <c r="F73" i="5"/>
  <c r="F68" i="5"/>
  <c r="F63" i="5"/>
  <c r="F58" i="5"/>
  <c r="F53" i="5"/>
  <c r="F48" i="5"/>
  <c r="F43" i="5"/>
  <c r="F38" i="5"/>
  <c r="F33" i="5"/>
  <c r="F28" i="5"/>
  <c r="E98" i="5"/>
  <c r="E93" i="5"/>
  <c r="E88" i="5"/>
  <c r="E83" i="5"/>
  <c r="E78" i="5"/>
  <c r="E73" i="5"/>
  <c r="E68" i="5"/>
  <c r="E63" i="5"/>
  <c r="E58" i="5"/>
  <c r="E53" i="5"/>
  <c r="E48" i="5"/>
  <c r="E43" i="5"/>
  <c r="E38" i="5"/>
  <c r="E33" i="5"/>
  <c r="E28" i="5"/>
  <c r="D98" i="5"/>
  <c r="D93" i="5"/>
  <c r="D88" i="5"/>
  <c r="D83" i="5"/>
  <c r="D78" i="5"/>
  <c r="D73" i="5"/>
  <c r="D68" i="5"/>
  <c r="D63" i="5"/>
  <c r="D58" i="5"/>
  <c r="D53" i="5"/>
  <c r="D48" i="5"/>
  <c r="D43" i="5"/>
  <c r="D38" i="5"/>
  <c r="D33" i="5"/>
  <c r="D28" i="5"/>
  <c r="C98" i="5"/>
  <c r="B99" i="5" s="1"/>
  <c r="P124" i="5" s="1"/>
  <c r="C93" i="5"/>
  <c r="B94" i="5" s="1"/>
  <c r="O124" i="5" s="1"/>
  <c r="C88" i="5"/>
  <c r="B89" i="5" s="1"/>
  <c r="N124" i="5" s="1"/>
  <c r="C83" i="5"/>
  <c r="B84" i="5" s="1"/>
  <c r="M124" i="5" s="1"/>
  <c r="C78" i="5"/>
  <c r="B79" i="5" s="1"/>
  <c r="L124" i="5" s="1"/>
  <c r="C73" i="5"/>
  <c r="B74" i="5" s="1"/>
  <c r="K124" i="5" s="1"/>
  <c r="C68" i="5"/>
  <c r="B69" i="5" s="1"/>
  <c r="J124" i="5" s="1"/>
  <c r="C63" i="5"/>
  <c r="B64" i="5" s="1"/>
  <c r="I124" i="5" s="1"/>
  <c r="C58" i="5"/>
  <c r="B59" i="5" s="1"/>
  <c r="H124" i="5" s="1"/>
  <c r="C53" i="5"/>
  <c r="B54" i="5" s="1"/>
  <c r="G124" i="5" s="1"/>
  <c r="C48" i="5"/>
  <c r="B49" i="5" s="1"/>
  <c r="F124" i="5" s="1"/>
  <c r="C43" i="5"/>
  <c r="B44" i="5" s="1"/>
  <c r="E124" i="5" s="1"/>
  <c r="C38" i="5"/>
  <c r="B39" i="5" s="1"/>
  <c r="D124" i="5" s="1"/>
  <c r="C33" i="5"/>
  <c r="B34" i="5" s="1"/>
  <c r="C124" i="5" s="1"/>
  <c r="C28" i="5"/>
  <c r="B29" i="5" s="1"/>
  <c r="B124" i="5" s="1"/>
  <c r="B23" i="5"/>
  <c r="L98" i="4"/>
  <c r="L93" i="4"/>
  <c r="L88" i="4"/>
  <c r="L83" i="4"/>
  <c r="L78" i="4"/>
  <c r="L73" i="4"/>
  <c r="L68" i="4"/>
  <c r="L63" i="4"/>
  <c r="L58" i="4"/>
  <c r="L53" i="4"/>
  <c r="L48" i="4"/>
  <c r="L43" i="4"/>
  <c r="L38" i="4"/>
  <c r="L33" i="4"/>
  <c r="L28" i="4"/>
  <c r="K98" i="4"/>
  <c r="K93" i="4"/>
  <c r="K88" i="4"/>
  <c r="K83" i="4"/>
  <c r="K78" i="4"/>
  <c r="K73" i="4"/>
  <c r="K68" i="4"/>
  <c r="K63" i="4"/>
  <c r="K58" i="4"/>
  <c r="K53" i="4"/>
  <c r="K48" i="4"/>
  <c r="K43" i="4"/>
  <c r="K38" i="4"/>
  <c r="K33" i="4"/>
  <c r="K28" i="4"/>
  <c r="J98" i="4"/>
  <c r="J93" i="4"/>
  <c r="J88" i="4"/>
  <c r="J83" i="4"/>
  <c r="J78" i="4"/>
  <c r="J73" i="4"/>
  <c r="J68" i="4"/>
  <c r="J63" i="4"/>
  <c r="J58" i="4"/>
  <c r="J53" i="4"/>
  <c r="J48" i="4"/>
  <c r="J43" i="4"/>
  <c r="J38" i="4"/>
  <c r="J33" i="4"/>
  <c r="J28" i="4"/>
  <c r="I98" i="4"/>
  <c r="I93" i="4"/>
  <c r="I88" i="4"/>
  <c r="I83" i="4"/>
  <c r="I78" i="4"/>
  <c r="I73" i="4"/>
  <c r="I68" i="4"/>
  <c r="I63" i="4"/>
  <c r="I58" i="4"/>
  <c r="I53" i="4"/>
  <c r="I48" i="4"/>
  <c r="I43" i="4"/>
  <c r="I38" i="4"/>
  <c r="I33" i="4"/>
  <c r="I28" i="4"/>
  <c r="H98" i="4"/>
  <c r="H93" i="4"/>
  <c r="H88" i="4"/>
  <c r="H83" i="4"/>
  <c r="H78" i="4"/>
  <c r="H73" i="4"/>
  <c r="H68" i="4"/>
  <c r="H63" i="4"/>
  <c r="H58" i="4"/>
  <c r="H53" i="4"/>
  <c r="H48" i="4"/>
  <c r="H43" i="4"/>
  <c r="H38" i="4"/>
  <c r="H33" i="4"/>
  <c r="H28" i="4"/>
  <c r="G98" i="4"/>
  <c r="G93" i="4"/>
  <c r="G88" i="4"/>
  <c r="G83" i="4"/>
  <c r="G78" i="4"/>
  <c r="G73" i="4"/>
  <c r="G68" i="4"/>
  <c r="G63" i="4"/>
  <c r="G58" i="4"/>
  <c r="G53" i="4"/>
  <c r="G48" i="4"/>
  <c r="G43" i="4"/>
  <c r="G38" i="4"/>
  <c r="G33" i="4"/>
  <c r="G28" i="4"/>
  <c r="F98" i="4"/>
  <c r="F93" i="4"/>
  <c r="F88" i="4"/>
  <c r="F83" i="4"/>
  <c r="F78" i="4"/>
  <c r="F73" i="4"/>
  <c r="F68" i="4"/>
  <c r="F63" i="4"/>
  <c r="F58" i="4"/>
  <c r="F53" i="4"/>
  <c r="F48" i="4"/>
  <c r="F43" i="4"/>
  <c r="F38" i="4"/>
  <c r="F33" i="4"/>
  <c r="F28" i="4"/>
  <c r="E98" i="4"/>
  <c r="E93" i="4"/>
  <c r="E88" i="4"/>
  <c r="E83" i="4"/>
  <c r="E78" i="4"/>
  <c r="E73" i="4"/>
  <c r="E68" i="4"/>
  <c r="E63" i="4"/>
  <c r="E58" i="4"/>
  <c r="E53" i="4"/>
  <c r="E48" i="4"/>
  <c r="E43" i="4"/>
  <c r="E38" i="4"/>
  <c r="E33" i="4"/>
  <c r="E28" i="4"/>
  <c r="D98" i="4"/>
  <c r="D93" i="4"/>
  <c r="D88" i="4"/>
  <c r="D83" i="4"/>
  <c r="D78" i="4"/>
  <c r="D73" i="4"/>
  <c r="D68" i="4"/>
  <c r="D63" i="4"/>
  <c r="D58" i="4"/>
  <c r="D53" i="4"/>
  <c r="D48" i="4"/>
  <c r="D43" i="4"/>
  <c r="D38" i="4"/>
  <c r="D33" i="4"/>
  <c r="D28" i="4"/>
  <c r="C98" i="4"/>
  <c r="B99" i="4" s="1"/>
  <c r="P124" i="4" s="1"/>
  <c r="C93" i="4"/>
  <c r="B94" i="4" s="1"/>
  <c r="O124" i="4" s="1"/>
  <c r="C88" i="4"/>
  <c r="B89" i="4" s="1"/>
  <c r="N124" i="4" s="1"/>
  <c r="C83" i="4"/>
  <c r="B84" i="4" s="1"/>
  <c r="M124" i="4" s="1"/>
  <c r="C78" i="4"/>
  <c r="B79" i="4" s="1"/>
  <c r="L124" i="4" s="1"/>
  <c r="C73" i="4"/>
  <c r="B74" i="4" s="1"/>
  <c r="K124" i="4" s="1"/>
  <c r="C68" i="4"/>
  <c r="B69" i="4" s="1"/>
  <c r="J124" i="4" s="1"/>
  <c r="C63" i="4"/>
  <c r="B64" i="4" s="1"/>
  <c r="I124" i="4" s="1"/>
  <c r="C58" i="4"/>
  <c r="B59" i="4" s="1"/>
  <c r="H124" i="4" s="1"/>
  <c r="C53" i="4"/>
  <c r="B54" i="4" s="1"/>
  <c r="G124" i="4" s="1"/>
  <c r="C48" i="4"/>
  <c r="B49" i="4" s="1"/>
  <c r="F124" i="4" s="1"/>
  <c r="C43" i="4"/>
  <c r="B44" i="4" s="1"/>
  <c r="E124" i="4" s="1"/>
  <c r="C38" i="4"/>
  <c r="B39" i="4" s="1"/>
  <c r="D124" i="4" s="1"/>
  <c r="C33" i="4"/>
  <c r="B34" i="4" s="1"/>
  <c r="C124" i="4" s="1"/>
  <c r="C28" i="4"/>
  <c r="B29" i="4" s="1"/>
  <c r="B124" i="4" s="1"/>
  <c r="B23" i="4"/>
  <c r="L98" i="2"/>
  <c r="L93" i="2"/>
  <c r="L88" i="2"/>
  <c r="L83" i="2"/>
  <c r="L78" i="2"/>
  <c r="L73" i="2"/>
  <c r="L68" i="2"/>
  <c r="L63" i="2"/>
  <c r="L58" i="2"/>
  <c r="L53" i="2"/>
  <c r="L48" i="2"/>
  <c r="L43" i="2"/>
  <c r="L38" i="2"/>
  <c r="L33" i="2"/>
  <c r="L28" i="2"/>
  <c r="K98" i="2"/>
  <c r="K93" i="2"/>
  <c r="K88" i="2"/>
  <c r="K83" i="2"/>
  <c r="K78" i="2"/>
  <c r="K73" i="2"/>
  <c r="K68" i="2"/>
  <c r="K63" i="2"/>
  <c r="K58" i="2"/>
  <c r="K53" i="2"/>
  <c r="K48" i="2"/>
  <c r="K43" i="2"/>
  <c r="K38" i="2"/>
  <c r="K33" i="2"/>
  <c r="K28" i="2"/>
  <c r="J98" i="2"/>
  <c r="J93" i="2"/>
  <c r="J88" i="2"/>
  <c r="J83" i="2"/>
  <c r="J78" i="2"/>
  <c r="J73" i="2"/>
  <c r="J68" i="2"/>
  <c r="J63" i="2"/>
  <c r="J58" i="2"/>
  <c r="J53" i="2"/>
  <c r="J48" i="2"/>
  <c r="J43" i="2"/>
  <c r="J38" i="2"/>
  <c r="J33" i="2"/>
  <c r="J28" i="2"/>
  <c r="I98" i="2"/>
  <c r="I93" i="2"/>
  <c r="I88" i="2"/>
  <c r="I83" i="2"/>
  <c r="I78" i="2"/>
  <c r="I73" i="2"/>
  <c r="I68" i="2"/>
  <c r="I63" i="2"/>
  <c r="I58" i="2"/>
  <c r="I53" i="2"/>
  <c r="I48" i="2"/>
  <c r="I43" i="2"/>
  <c r="I38" i="2"/>
  <c r="I33" i="2"/>
  <c r="I28" i="2"/>
  <c r="H98" i="2"/>
  <c r="H93" i="2"/>
  <c r="H88" i="2"/>
  <c r="H83" i="2"/>
  <c r="H78" i="2"/>
  <c r="H73" i="2"/>
  <c r="H68" i="2"/>
  <c r="H63" i="2"/>
  <c r="H58" i="2"/>
  <c r="H53" i="2"/>
  <c r="H48" i="2"/>
  <c r="H43" i="2"/>
  <c r="H38" i="2"/>
  <c r="H33" i="2"/>
  <c r="H28" i="2"/>
  <c r="G98" i="2"/>
  <c r="G93" i="2"/>
  <c r="G88" i="2"/>
  <c r="G83" i="2"/>
  <c r="G78" i="2"/>
  <c r="G73" i="2"/>
  <c r="G68" i="2"/>
  <c r="G63" i="2"/>
  <c r="G58" i="2"/>
  <c r="G53" i="2"/>
  <c r="G48" i="2"/>
  <c r="G43" i="2"/>
  <c r="G38" i="2"/>
  <c r="G33" i="2"/>
  <c r="G28" i="2"/>
  <c r="F98" i="2"/>
  <c r="F93" i="2"/>
  <c r="F88" i="2"/>
  <c r="F83" i="2"/>
  <c r="F78" i="2"/>
  <c r="F73" i="2"/>
  <c r="F68" i="2"/>
  <c r="F63" i="2"/>
  <c r="F58" i="2"/>
  <c r="F53" i="2"/>
  <c r="F48" i="2"/>
  <c r="F43" i="2"/>
  <c r="F38" i="2"/>
  <c r="F33" i="2"/>
  <c r="F28" i="2"/>
  <c r="E98" i="2"/>
  <c r="E93" i="2"/>
  <c r="E88" i="2"/>
  <c r="E83" i="2"/>
  <c r="E78" i="2"/>
  <c r="E73" i="2"/>
  <c r="E68" i="2"/>
  <c r="E63" i="2"/>
  <c r="E58" i="2"/>
  <c r="E53" i="2"/>
  <c r="E48" i="2"/>
  <c r="E43" i="2"/>
  <c r="E38" i="2"/>
  <c r="E33" i="2"/>
  <c r="E28" i="2"/>
  <c r="D98" i="2"/>
  <c r="D93" i="2"/>
  <c r="D88" i="2"/>
  <c r="D83" i="2"/>
  <c r="D78" i="2"/>
  <c r="D73" i="2"/>
  <c r="D68" i="2"/>
  <c r="D63" i="2"/>
  <c r="D58" i="2"/>
  <c r="D53" i="2"/>
  <c r="D48" i="2"/>
  <c r="D43" i="2"/>
  <c r="D38" i="2"/>
  <c r="D33" i="2"/>
  <c r="D28" i="2"/>
  <c r="C98" i="2"/>
  <c r="B99" i="2" s="1"/>
  <c r="P124" i="2" s="1"/>
  <c r="C93" i="2"/>
  <c r="B94" i="2" s="1"/>
  <c r="O124" i="2" s="1"/>
  <c r="C88" i="2"/>
  <c r="B89" i="2" s="1"/>
  <c r="N124" i="2" s="1"/>
  <c r="C83" i="2"/>
  <c r="B84" i="2" s="1"/>
  <c r="M124" i="2" s="1"/>
  <c r="C78" i="2"/>
  <c r="B79" i="2" s="1"/>
  <c r="L124" i="2" s="1"/>
  <c r="C73" i="2"/>
  <c r="B74" i="2" s="1"/>
  <c r="K124" i="2" s="1"/>
  <c r="C68" i="2"/>
  <c r="B69" i="2" s="1"/>
  <c r="J124" i="2" s="1"/>
  <c r="C63" i="2"/>
  <c r="B64" i="2" s="1"/>
  <c r="I124" i="2" s="1"/>
  <c r="C58" i="2"/>
  <c r="B59" i="2" s="1"/>
  <c r="H124" i="2" s="1"/>
  <c r="C53" i="2"/>
  <c r="B54" i="2" s="1"/>
  <c r="G124" i="2" s="1"/>
  <c r="C48" i="2"/>
  <c r="B49" i="2" s="1"/>
  <c r="F124" i="2" s="1"/>
  <c r="C43" i="2"/>
  <c r="B44" i="2" s="1"/>
  <c r="E124" i="2" s="1"/>
  <c r="C38" i="2"/>
  <c r="B39" i="2" s="1"/>
  <c r="D124" i="2" s="1"/>
  <c r="C33" i="2"/>
  <c r="B34" i="2" s="1"/>
  <c r="C124" i="2" s="1"/>
  <c r="C28" i="2"/>
  <c r="B29" i="2" s="1"/>
  <c r="B124" i="2" s="1"/>
  <c r="B23" i="2"/>
  <c r="L98" i="3"/>
  <c r="L93" i="3"/>
  <c r="L88" i="3"/>
  <c r="L83" i="3"/>
  <c r="L78" i="3"/>
  <c r="L73" i="3"/>
  <c r="L68" i="3"/>
  <c r="L63" i="3"/>
  <c r="L58" i="3"/>
  <c r="L53" i="3"/>
  <c r="L48" i="3"/>
  <c r="L43" i="3"/>
  <c r="L38" i="3"/>
  <c r="L33" i="3"/>
  <c r="L28" i="3"/>
  <c r="K98" i="3"/>
  <c r="K93" i="3"/>
  <c r="K88" i="3"/>
  <c r="K83" i="3"/>
  <c r="K78" i="3"/>
  <c r="K73" i="3"/>
  <c r="K68" i="3"/>
  <c r="K63" i="3"/>
  <c r="K58" i="3"/>
  <c r="K53" i="3"/>
  <c r="K48" i="3"/>
  <c r="K43" i="3"/>
  <c r="K38" i="3"/>
  <c r="K33" i="3"/>
  <c r="K28" i="3"/>
  <c r="J98" i="3"/>
  <c r="J93" i="3"/>
  <c r="J88" i="3"/>
  <c r="J83" i="3"/>
  <c r="J78" i="3"/>
  <c r="J73" i="3"/>
  <c r="J68" i="3"/>
  <c r="J63" i="3"/>
  <c r="J58" i="3"/>
  <c r="J53" i="3"/>
  <c r="J48" i="3"/>
  <c r="J43" i="3"/>
  <c r="J38" i="3"/>
  <c r="J33" i="3"/>
  <c r="J28" i="3"/>
  <c r="I98" i="3"/>
  <c r="I93" i="3"/>
  <c r="I88" i="3"/>
  <c r="I83" i="3"/>
  <c r="I78" i="3"/>
  <c r="I73" i="3"/>
  <c r="I68" i="3"/>
  <c r="I63" i="3"/>
  <c r="I58" i="3"/>
  <c r="I53" i="3"/>
  <c r="I48" i="3"/>
  <c r="I43" i="3"/>
  <c r="I38" i="3"/>
  <c r="I33" i="3"/>
  <c r="I28" i="3"/>
  <c r="H98" i="3"/>
  <c r="H93" i="3"/>
  <c r="H88" i="3"/>
  <c r="H83" i="3"/>
  <c r="H78" i="3"/>
  <c r="H73" i="3"/>
  <c r="H68" i="3"/>
  <c r="H63" i="3"/>
  <c r="H58" i="3"/>
  <c r="H53" i="3"/>
  <c r="H48" i="3"/>
  <c r="H43" i="3"/>
  <c r="H38" i="3"/>
  <c r="H33" i="3"/>
  <c r="H28" i="3"/>
  <c r="G98" i="3"/>
  <c r="G93" i="3"/>
  <c r="G88" i="3"/>
  <c r="G83" i="3"/>
  <c r="G78" i="3"/>
  <c r="G73" i="3"/>
  <c r="G68" i="3"/>
  <c r="G63" i="3"/>
  <c r="G58" i="3"/>
  <c r="G53" i="3"/>
  <c r="G48" i="3"/>
  <c r="G43" i="3"/>
  <c r="G38" i="3"/>
  <c r="G33" i="3"/>
  <c r="G28" i="3"/>
  <c r="F98" i="3"/>
  <c r="F93" i="3"/>
  <c r="F88" i="3"/>
  <c r="F83" i="3"/>
  <c r="F78" i="3"/>
  <c r="F73" i="3"/>
  <c r="F68" i="3"/>
  <c r="F63" i="3"/>
  <c r="F58" i="3"/>
  <c r="F53" i="3"/>
  <c r="F48" i="3"/>
  <c r="F43" i="3"/>
  <c r="F38" i="3"/>
  <c r="F33" i="3"/>
  <c r="F28" i="3"/>
  <c r="E98" i="3"/>
  <c r="E93" i="3"/>
  <c r="E88" i="3"/>
  <c r="E83" i="3"/>
  <c r="E78" i="3"/>
  <c r="E73" i="3"/>
  <c r="E68" i="3"/>
  <c r="E63" i="3"/>
  <c r="E58" i="3"/>
  <c r="E53" i="3"/>
  <c r="E48" i="3"/>
  <c r="E43" i="3"/>
  <c r="E38" i="3"/>
  <c r="E33" i="3"/>
  <c r="E28" i="3"/>
  <c r="D98" i="3"/>
  <c r="D93" i="3"/>
  <c r="D88" i="3"/>
  <c r="D83" i="3"/>
  <c r="D78" i="3"/>
  <c r="D73" i="3"/>
  <c r="D68" i="3"/>
  <c r="D63" i="3"/>
  <c r="D58" i="3"/>
  <c r="D53" i="3"/>
  <c r="D48" i="3"/>
  <c r="D43" i="3"/>
  <c r="D38" i="3"/>
  <c r="D33" i="3"/>
  <c r="D28" i="3"/>
  <c r="C98" i="3"/>
  <c r="B99" i="3" s="1"/>
  <c r="P124" i="3" s="1"/>
  <c r="C93" i="3"/>
  <c r="B94" i="3" s="1"/>
  <c r="O124" i="3" s="1"/>
  <c r="C88" i="3"/>
  <c r="B89" i="3" s="1"/>
  <c r="N124" i="3" s="1"/>
  <c r="C83" i="3"/>
  <c r="B84" i="3" s="1"/>
  <c r="M124" i="3" s="1"/>
  <c r="C78" i="3"/>
  <c r="B79" i="3" s="1"/>
  <c r="L124" i="3" s="1"/>
  <c r="C73" i="3"/>
  <c r="B74" i="3" s="1"/>
  <c r="K124" i="3" s="1"/>
  <c r="C68" i="3"/>
  <c r="B69" i="3" s="1"/>
  <c r="J124" i="3" s="1"/>
  <c r="C63" i="3"/>
  <c r="B64" i="3" s="1"/>
  <c r="I124" i="3" s="1"/>
  <c r="C58" i="3"/>
  <c r="B59" i="3" s="1"/>
  <c r="H124" i="3" s="1"/>
  <c r="C53" i="3"/>
  <c r="B54" i="3" s="1"/>
  <c r="G124" i="3" s="1"/>
  <c r="C48" i="3"/>
  <c r="B49" i="3" s="1"/>
  <c r="F124" i="3" s="1"/>
  <c r="C43" i="3"/>
  <c r="B44" i="3" s="1"/>
  <c r="E124" i="3" s="1"/>
  <c r="C38" i="3"/>
  <c r="B39" i="3" s="1"/>
  <c r="D124" i="3" s="1"/>
  <c r="C33" i="3"/>
  <c r="B34" i="3" s="1"/>
  <c r="C124" i="3" s="1"/>
  <c r="C28" i="3"/>
  <c r="B29" i="3" s="1"/>
  <c r="B124" i="3" s="1"/>
  <c r="B23" i="3"/>
  <c r="L98" i="6"/>
  <c r="L93" i="6"/>
  <c r="L88" i="6"/>
  <c r="L83" i="6"/>
  <c r="L78" i="6"/>
  <c r="L73" i="6"/>
  <c r="L68" i="6"/>
  <c r="L63" i="6"/>
  <c r="L58" i="6"/>
  <c r="L53" i="6"/>
  <c r="L48" i="6"/>
  <c r="L43" i="6"/>
  <c r="L38" i="6"/>
  <c r="L33" i="6"/>
  <c r="L28" i="6"/>
  <c r="K98" i="6"/>
  <c r="K93" i="6"/>
  <c r="K88" i="6"/>
  <c r="K83" i="6"/>
  <c r="K78" i="6"/>
  <c r="K73" i="6"/>
  <c r="K68" i="6"/>
  <c r="K63" i="6"/>
  <c r="K58" i="6"/>
  <c r="K53" i="6"/>
  <c r="K48" i="6"/>
  <c r="K43" i="6"/>
  <c r="K38" i="6"/>
  <c r="K33" i="6"/>
  <c r="K28" i="6"/>
  <c r="J98" i="6"/>
  <c r="J93" i="6"/>
  <c r="J88" i="6"/>
  <c r="J83" i="6"/>
  <c r="J78" i="6"/>
  <c r="J73" i="6"/>
  <c r="J68" i="6"/>
  <c r="J63" i="6"/>
  <c r="J58" i="6"/>
  <c r="J53" i="6"/>
  <c r="J48" i="6"/>
  <c r="J43" i="6"/>
  <c r="J38" i="6"/>
  <c r="J33" i="6"/>
  <c r="J28" i="6"/>
  <c r="I98" i="6"/>
  <c r="I93" i="6"/>
  <c r="I88" i="6"/>
  <c r="I83" i="6"/>
  <c r="I78" i="6"/>
  <c r="I73" i="6"/>
  <c r="I68" i="6"/>
  <c r="I63" i="6"/>
  <c r="I58" i="6"/>
  <c r="I53" i="6"/>
  <c r="I48" i="6"/>
  <c r="I43" i="6"/>
  <c r="I38" i="6"/>
  <c r="I33" i="6"/>
  <c r="I28" i="6"/>
  <c r="H98" i="6"/>
  <c r="H93" i="6"/>
  <c r="H88" i="6"/>
  <c r="H83" i="6"/>
  <c r="H78" i="6"/>
  <c r="H73" i="6"/>
  <c r="H68" i="6"/>
  <c r="H63" i="6"/>
  <c r="H58" i="6"/>
  <c r="H53" i="6"/>
  <c r="H48" i="6"/>
  <c r="H43" i="6"/>
  <c r="H38" i="6"/>
  <c r="H33" i="6"/>
  <c r="H28" i="6"/>
  <c r="G98" i="6"/>
  <c r="G93" i="6"/>
  <c r="G88" i="6"/>
  <c r="G83" i="6"/>
  <c r="G78" i="6"/>
  <c r="G73" i="6"/>
  <c r="G68" i="6"/>
  <c r="G63" i="6"/>
  <c r="G58" i="6"/>
  <c r="G53" i="6"/>
  <c r="G48" i="6"/>
  <c r="G43" i="6"/>
  <c r="G38" i="6"/>
  <c r="G33" i="6"/>
  <c r="G28" i="6"/>
  <c r="F98" i="6"/>
  <c r="F93" i="6"/>
  <c r="F88" i="6"/>
  <c r="F83" i="6"/>
  <c r="F78" i="6"/>
  <c r="F73" i="6"/>
  <c r="F68" i="6"/>
  <c r="F63" i="6"/>
  <c r="F58" i="6"/>
  <c r="F53" i="6"/>
  <c r="F48" i="6"/>
  <c r="F43" i="6"/>
  <c r="F38" i="6"/>
  <c r="F33" i="6"/>
  <c r="F28" i="6"/>
  <c r="E98" i="6"/>
  <c r="E93" i="6"/>
  <c r="E88" i="6"/>
  <c r="E83" i="6"/>
  <c r="E78" i="6"/>
  <c r="E73" i="6"/>
  <c r="E68" i="6"/>
  <c r="E63" i="6"/>
  <c r="E58" i="6"/>
  <c r="E53" i="6"/>
  <c r="E48" i="6"/>
  <c r="E43" i="6"/>
  <c r="E38" i="6"/>
  <c r="E33" i="6"/>
  <c r="E28" i="6"/>
  <c r="D98" i="6"/>
  <c r="D93" i="6"/>
  <c r="D88" i="6"/>
  <c r="D83" i="6"/>
  <c r="D78" i="6"/>
  <c r="D73" i="6"/>
  <c r="D68" i="6"/>
  <c r="D63" i="6"/>
  <c r="D58" i="6"/>
  <c r="D53" i="6"/>
  <c r="D48" i="6"/>
  <c r="D43" i="6"/>
  <c r="D38" i="6"/>
  <c r="D33" i="6"/>
  <c r="D28" i="6"/>
  <c r="C98" i="6"/>
  <c r="B99" i="6" s="1"/>
  <c r="P124" i="6" s="1"/>
  <c r="C93" i="6"/>
  <c r="B94" i="6" s="1"/>
  <c r="O124" i="6" s="1"/>
  <c r="C88" i="6"/>
  <c r="B89" i="6" s="1"/>
  <c r="N124" i="6" s="1"/>
  <c r="C83" i="6"/>
  <c r="B84" i="6" s="1"/>
  <c r="M124" i="6" s="1"/>
  <c r="C78" i="6"/>
  <c r="B79" i="6" s="1"/>
  <c r="L124" i="6" s="1"/>
  <c r="C73" i="6"/>
  <c r="B74" i="6" s="1"/>
  <c r="K124" i="6" s="1"/>
  <c r="C68" i="6"/>
  <c r="B69" i="6" s="1"/>
  <c r="J124" i="6" s="1"/>
  <c r="C63" i="6"/>
  <c r="B64" i="6" s="1"/>
  <c r="I124" i="6" s="1"/>
  <c r="C58" i="6"/>
  <c r="B59" i="6" s="1"/>
  <c r="H124" i="6" s="1"/>
  <c r="C53" i="6"/>
  <c r="B54" i="6" s="1"/>
  <c r="G124" i="6" s="1"/>
  <c r="C48" i="6"/>
  <c r="B49" i="6" s="1"/>
  <c r="F124" i="6" s="1"/>
  <c r="C43" i="6"/>
  <c r="B44" i="6" s="1"/>
  <c r="E124" i="6" s="1"/>
  <c r="C38" i="6"/>
  <c r="B39" i="6" s="1"/>
  <c r="D124" i="6" s="1"/>
  <c r="C33" i="6"/>
  <c r="B34" i="6" s="1"/>
  <c r="C124" i="6" s="1"/>
  <c r="C28" i="6"/>
  <c r="B29" i="6" s="1"/>
  <c r="B124" i="6" s="1"/>
  <c r="B23" i="6"/>
  <c r="B6" i="18" l="1"/>
  <c r="B6" i="17"/>
  <c r="F24" i="1"/>
  <c r="D24" i="1"/>
  <c r="B24" i="1"/>
  <c r="H24" i="1"/>
  <c r="J24" i="1"/>
  <c r="K24" i="1"/>
  <c r="L24" i="1"/>
  <c r="M24" i="1"/>
  <c r="N24" i="1"/>
  <c r="O24" i="1"/>
  <c r="G24" i="1"/>
  <c r="E24" i="1"/>
  <c r="I24" i="1"/>
  <c r="C24" i="1"/>
  <c r="B126" i="6"/>
  <c r="B125" i="6"/>
  <c r="B126" i="3"/>
  <c r="B125" i="3"/>
  <c r="B126" i="4"/>
  <c r="B125" i="4"/>
  <c r="B126" i="5"/>
  <c r="B125" i="5"/>
  <c r="B126" i="8"/>
  <c r="B125" i="8"/>
  <c r="B126" i="9"/>
  <c r="B125" i="9"/>
  <c r="B126" i="7"/>
  <c r="B125" i="7"/>
  <c r="B126" i="11"/>
  <c r="B125" i="11"/>
  <c r="B126" i="10"/>
  <c r="B125" i="10"/>
  <c r="B126" i="12"/>
  <c r="B125" i="12"/>
  <c r="B126" i="13"/>
  <c r="B125" i="13"/>
  <c r="B126" i="14"/>
  <c r="B125" i="14"/>
  <c r="B126" i="15"/>
  <c r="B125" i="15"/>
  <c r="B104" i="6"/>
  <c r="Q124" i="6" s="1"/>
  <c r="B109" i="6"/>
  <c r="R124" i="6" s="1"/>
  <c r="B114" i="6"/>
  <c r="S124" i="6" s="1"/>
  <c r="B119" i="6"/>
  <c r="T124" i="6" s="1"/>
  <c r="B126" i="2"/>
  <c r="B125" i="2"/>
  <c r="B29" i="1" l="1"/>
  <c r="B30" i="1"/>
  <c r="C29" i="1"/>
  <c r="C30" i="1"/>
  <c r="I29" i="1"/>
  <c r="I30" i="1"/>
  <c r="E29" i="1"/>
  <c r="E30" i="1"/>
  <c r="G29" i="1"/>
  <c r="G30" i="1"/>
  <c r="O29" i="1"/>
  <c r="O30" i="1"/>
  <c r="N29" i="1"/>
  <c r="N30" i="1"/>
  <c r="M29" i="1"/>
  <c r="M30" i="1"/>
  <c r="L29" i="1"/>
  <c r="L30" i="1"/>
  <c r="K29" i="1"/>
  <c r="K30" i="1"/>
  <c r="J29" i="1"/>
  <c r="J30" i="1"/>
  <c r="H29" i="1"/>
  <c r="H30" i="1"/>
  <c r="D29" i="1"/>
  <c r="D30" i="1"/>
  <c r="F29" i="1"/>
  <c r="F30" i="1"/>
</calcChain>
</file>

<file path=xl/sharedStrings.xml><?xml version="1.0" encoding="utf-8"?>
<sst xmlns="http://schemas.openxmlformats.org/spreadsheetml/2006/main" count="1445" uniqueCount="66">
  <si>
    <t>Model inputs</t>
  </si>
  <si>
    <t>Reference values</t>
  </si>
  <si>
    <t>AC single port 22kW</t>
  </si>
  <si>
    <t>AC dual port 22kW</t>
  </si>
  <si>
    <t>DC dual port 40kW</t>
  </si>
  <si>
    <t>Charger rated capacity (kW)</t>
  </si>
  <si>
    <t>Number of ports</t>
  </si>
  <si>
    <t>Capex</t>
  </si>
  <si>
    <t>Capex subsidy</t>
  </si>
  <si>
    <t>Post subsidy Capex</t>
  </si>
  <si>
    <t>Charger average power (% of rated capacity)</t>
  </si>
  <si>
    <t>Charger efficiency (%)</t>
  </si>
  <si>
    <t>Per unit electricity costs ($/kWh)</t>
  </si>
  <si>
    <t>Fixed electricity costs ($ p.a.)</t>
  </si>
  <si>
    <t>Per unit software costs (% of revenue)</t>
  </si>
  <si>
    <t>Fixed software costs ($ p.a.)</t>
  </si>
  <si>
    <t>Sale price ($/kWh)</t>
  </si>
  <si>
    <t>Maintenance ($ p.a.)</t>
  </si>
  <si>
    <t>Replacement capex ($ in year 5)</t>
  </si>
  <si>
    <t>Establishment fee to council (one off)</t>
  </si>
  <si>
    <t>Parking license fee to council or Ausgrid ($ p.a.)</t>
  </si>
  <si>
    <t>DNSP regulated return rate (WACC)</t>
  </si>
  <si>
    <t>Commercial hurdle rate</t>
  </si>
  <si>
    <t>Model outputs</t>
  </si>
  <si>
    <t>Utilisation</t>
  </si>
  <si>
    <t>IRR</t>
  </si>
  <si>
    <t xml:space="preserve"> Net income p.a.</t>
  </si>
  <si>
    <t>NSP regulated return</t>
  </si>
  <si>
    <t>Commercial
hurdle rate</t>
  </si>
  <si>
    <t>Subsidy % DNSP</t>
  </si>
  <si>
    <t>Subsidy % CPO</t>
  </si>
  <si>
    <t>Variable costs</t>
  </si>
  <si>
    <t>Fixed costs</t>
  </si>
  <si>
    <t>Revenue</t>
  </si>
  <si>
    <t>Results to overlay - no subsidy</t>
  </si>
  <si>
    <t>IRR - AC</t>
  </si>
  <si>
    <t>IRR - DC</t>
  </si>
  <si>
    <t>Results to overlay - 80% subsidy</t>
  </si>
  <si>
    <t>Results to overlay - 100% subsidy</t>
  </si>
  <si>
    <t>DC 40kW dual port - 20% utilisation</t>
  </si>
  <si>
    <t>Subsidy %</t>
  </si>
  <si>
    <t>Subsidy</t>
  </si>
  <si>
    <t>DNSP revenue 
if 'fee-for-use'</t>
  </si>
  <si>
    <t>DNSP customer 
cost/benefit</t>
  </si>
  <si>
    <t>Hours in year</t>
  </si>
  <si>
    <t>Energy delivered</t>
  </si>
  <si>
    <t>kWh p.a.</t>
  </si>
  <si>
    <t>Year</t>
  </si>
  <si>
    <t>Income</t>
  </si>
  <si>
    <t xml:space="preserve">Charging </t>
  </si>
  <si>
    <t>Total income</t>
  </si>
  <si>
    <t>Outgoing</t>
  </si>
  <si>
    <t>Site establishment</t>
  </si>
  <si>
    <t>Site license</t>
  </si>
  <si>
    <t>Maintenance</t>
  </si>
  <si>
    <t>Electricity</t>
  </si>
  <si>
    <t>Software - fixed</t>
  </si>
  <si>
    <t>Software - variable</t>
  </si>
  <si>
    <t>Total outgoings</t>
  </si>
  <si>
    <t>Total</t>
  </si>
  <si>
    <t>Subsidy effect</t>
  </si>
  <si>
    <t>Subsidised capex</t>
  </si>
  <si>
    <t>Cashflow</t>
  </si>
  <si>
    <t>Subsidy summary</t>
  </si>
  <si>
    <t>Min subsidy for DNSP</t>
  </si>
  <si>
    <t>Min subsidy for CPO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</si>
</sst>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;[Red]\-&quot;$&quot;#,##0"/>
    <numFmt numFmtId="44" formatCode="_-&quot;$&quot;* #,##0.00_-;\-&quot;$&quot;* #,##0.00_-;_-&quot;$&quot;* &quot;-&quot;??_-;_-@_-"/>
    <numFmt numFmtId="164" formatCode="_-&quot;$&quot;* #,##0_-;\-&quot;$&quot;* #,##0_-;_-&quot;$&quot;* &quot;-&quot;??_-;_-@_-"/>
    <numFmt numFmtId="165" formatCode="_-[$$-409]* #,##0_ ;_-[$$-409]* \-#,##0\ ;_-[$$-409]* &quot;-&quot;??_ ;_-@_ "/>
    <numFmt numFmtId="166" formatCode="0.0%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i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8">
    <xf numFmtId="0" fontId="0" fillId="0" borderId="0" xfId="0"/>
    <xf numFmtId="0" fontId="2" fillId="0" borderId="0" xfId="0" applyFont="1"/>
    <xf numFmtId="164" fontId="0" fillId="0" borderId="0" xfId="1" applyNumberFormat="1" applyFont="1"/>
    <xf numFmtId="164" fontId="0" fillId="0" borderId="0" xfId="0" applyNumberFormat="1"/>
    <xf numFmtId="9" fontId="0" fillId="0" borderId="0" xfId="0" applyNumberFormat="1"/>
    <xf numFmtId="9" fontId="2" fillId="0" borderId="0" xfId="0" applyNumberFormat="1" applyFont="1"/>
    <xf numFmtId="0" fontId="2" fillId="0" borderId="1" xfId="0" applyFont="1" applyBorder="1"/>
    <xf numFmtId="0" fontId="0" fillId="0" borderId="3" xfId="0" applyBorder="1"/>
    <xf numFmtId="0" fontId="0" fillId="0" borderId="4" xfId="0" applyBorder="1"/>
    <xf numFmtId="164" fontId="0" fillId="0" borderId="4" xfId="1" applyNumberFormat="1" applyFont="1" applyBorder="1"/>
    <xf numFmtId="0" fontId="3" fillId="0" borderId="3" xfId="0" applyFont="1" applyBorder="1"/>
    <xf numFmtId="0" fontId="0" fillId="0" borderId="5" xfId="0" applyBorder="1"/>
    <xf numFmtId="9" fontId="0" fillId="0" borderId="6" xfId="0" applyNumberFormat="1" applyBorder="1"/>
    <xf numFmtId="0" fontId="0" fillId="0" borderId="7" xfId="0" applyBorder="1"/>
    <xf numFmtId="0" fontId="0" fillId="0" borderId="2" xfId="0" applyBorder="1"/>
    <xf numFmtId="0" fontId="0" fillId="0" borderId="3" xfId="0" applyBorder="1" applyAlignment="1">
      <alignment vertical="top"/>
    </xf>
    <xf numFmtId="164" fontId="0" fillId="0" borderId="0" xfId="1" applyNumberFormat="1" applyFont="1" applyBorder="1"/>
    <xf numFmtId="10" fontId="0" fillId="0" borderId="0" xfId="0" applyNumberFormat="1"/>
    <xf numFmtId="10" fontId="0" fillId="0" borderId="4" xfId="0" applyNumberFormat="1" applyBorder="1"/>
    <xf numFmtId="9" fontId="0" fillId="0" borderId="4" xfId="0" applyNumberFormat="1" applyBorder="1"/>
    <xf numFmtId="9" fontId="0" fillId="0" borderId="8" xfId="0" applyNumberFormat="1" applyBorder="1"/>
    <xf numFmtId="0" fontId="2" fillId="0" borderId="4" xfId="0" applyFont="1" applyBorder="1"/>
    <xf numFmtId="164" fontId="2" fillId="0" borderId="4" xfId="1" applyNumberFormat="1" applyFont="1" applyBorder="1"/>
    <xf numFmtId="44" fontId="2" fillId="0" borderId="4" xfId="1" applyFont="1" applyBorder="1"/>
    <xf numFmtId="10" fontId="2" fillId="0" borderId="4" xfId="1" applyNumberFormat="1" applyFont="1" applyBorder="1"/>
    <xf numFmtId="165" fontId="2" fillId="0" borderId="4" xfId="0" applyNumberFormat="1" applyFont="1" applyBorder="1"/>
    <xf numFmtId="9" fontId="2" fillId="0" borderId="6" xfId="0" applyNumberFormat="1" applyFont="1" applyBorder="1"/>
    <xf numFmtId="9" fontId="2" fillId="0" borderId="4" xfId="0" applyNumberFormat="1" applyFont="1" applyBorder="1"/>
    <xf numFmtId="166" fontId="2" fillId="0" borderId="0" xfId="0" applyNumberFormat="1" applyFont="1"/>
    <xf numFmtId="9" fontId="2" fillId="0" borderId="4" xfId="1" applyNumberFormat="1" applyFont="1" applyFill="1" applyBorder="1"/>
    <xf numFmtId="44" fontId="2" fillId="0" borderId="4" xfId="1" applyFont="1" applyFill="1" applyBorder="1"/>
    <xf numFmtId="164" fontId="2" fillId="0" borderId="4" xfId="1" applyNumberFormat="1" applyFont="1" applyFill="1" applyBorder="1"/>
    <xf numFmtId="9" fontId="0" fillId="0" borderId="0" xfId="2" applyFont="1" applyBorder="1"/>
    <xf numFmtId="9" fontId="0" fillId="0" borderId="4" xfId="2" applyFont="1" applyBorder="1"/>
    <xf numFmtId="9" fontId="0" fillId="0" borderId="0" xfId="1" applyNumberFormat="1" applyFont="1" applyFill="1" applyBorder="1"/>
    <xf numFmtId="44" fontId="0" fillId="0" borderId="0" xfId="1" applyFont="1" applyFill="1" applyBorder="1"/>
    <xf numFmtId="164" fontId="0" fillId="0" borderId="0" xfId="1" applyNumberFormat="1" applyFont="1" applyFill="1" applyBorder="1"/>
    <xf numFmtId="44" fontId="0" fillId="0" borderId="0" xfId="1" applyFont="1" applyBorder="1"/>
    <xf numFmtId="0" fontId="4" fillId="0" borderId="10" xfId="0" applyFont="1" applyBorder="1" applyAlignment="1">
      <alignment wrapText="1"/>
    </xf>
    <xf numFmtId="0" fontId="4" fillId="0" borderId="11" xfId="0" applyFont="1" applyBorder="1" applyAlignment="1">
      <alignment wrapText="1"/>
    </xf>
    <xf numFmtId="6" fontId="0" fillId="0" borderId="0" xfId="0" applyNumberFormat="1"/>
    <xf numFmtId="165" fontId="0" fillId="0" borderId="0" xfId="0" applyNumberFormat="1"/>
    <xf numFmtId="6" fontId="0" fillId="0" borderId="14" xfId="0" applyNumberFormat="1" applyBorder="1"/>
    <xf numFmtId="0" fontId="0" fillId="0" borderId="3" xfId="0" applyBorder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4" fontId="0" fillId="0" borderId="0" xfId="1" quotePrefix="1" applyNumberFormat="1" applyFont="1"/>
    <xf numFmtId="164" fontId="2" fillId="0" borderId="0" xfId="1" applyNumberFormat="1" applyFont="1" applyBorder="1"/>
    <xf numFmtId="10" fontId="2" fillId="0" borderId="0" xfId="1" applyNumberFormat="1" applyFont="1" applyBorder="1"/>
    <xf numFmtId="166" fontId="0" fillId="0" borderId="0" xfId="2" applyNumberFormat="1" applyFont="1" applyBorder="1"/>
    <xf numFmtId="166" fontId="0" fillId="0" borderId="4" xfId="2" applyNumberFormat="1" applyFont="1" applyBorder="1"/>
    <xf numFmtId="0" fontId="2" fillId="0" borderId="9" xfId="0" applyFon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9" fontId="0" fillId="0" borderId="15" xfId="0" applyNumberFormat="1" applyBorder="1"/>
    <xf numFmtId="9" fontId="0" fillId="0" borderId="15" xfId="2" applyFont="1" applyBorder="1"/>
    <xf numFmtId="0" fontId="0" fillId="0" borderId="15" xfId="0" applyBorder="1"/>
    <xf numFmtId="0" fontId="2" fillId="0" borderId="12" xfId="0" applyFont="1" applyBorder="1"/>
    <xf numFmtId="0" fontId="0" fillId="0" borderId="13" xfId="0" applyBorder="1"/>
    <xf numFmtId="9" fontId="0" fillId="0" borderId="14" xfId="2" applyFont="1" applyBorder="1"/>
    <xf numFmtId="9" fontId="0" fillId="0" borderId="16" xfId="2" applyFont="1" applyBorder="1"/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{"IRR"}</c:f>
              <c:strCache>
                <c:ptCount val="1"/>
                <c:pt idx="0">
                  <c:v>IRR</c:v>
                </c:pt>
              </c:strCache>
            </c:strRef>
          </c:tx>
          <c:spPr>
            <a:ln w="38100">
              <a:solidFill>
                <a:srgbClr val="FF0000"/>
              </a:solidFill>
              <a:prstDash val="solid"/>
            </a:ln>
          </c:spPr>
          <c:marker>
            <c:symbol val="none"/>
          </c:marker>
          <c:xVal>
            <c:numRef>
              <c:f>'IRR inputs &amp; outputs'!$B$23:$O$23</c:f>
              <c:numCache>
                <c:formatCode>0.0%</c:formatCode>
                <c:ptCount val="14"/>
                <c:pt idx="0">
                  <c:v>0.05</c:v>
                </c:pt>
                <c:pt idx="1">
                  <c:v>7.4999999999999997E-2</c:v>
                </c:pt>
                <c:pt idx="2">
                  <c:v>0.1</c:v>
                </c:pt>
                <c:pt idx="3">
                  <c:v>0.125</c:v>
                </c:pt>
                <c:pt idx="4">
                  <c:v>0.15</c:v>
                </c:pt>
                <c:pt idx="5">
                  <c:v>0.17499999999999999</c:v>
                </c:pt>
                <c:pt idx="6">
                  <c:v>0.2</c:v>
                </c:pt>
                <c:pt idx="7">
                  <c:v>0.22500000000000001</c:v>
                </c:pt>
                <c:pt idx="8">
                  <c:v>0.25</c:v>
                </c:pt>
                <c:pt idx="9">
                  <c:v>0.3</c:v>
                </c:pt>
                <c:pt idx="10">
                  <c:v>0.35</c:v>
                </c:pt>
                <c:pt idx="11">
                  <c:v>0.4</c:v>
                </c:pt>
                <c:pt idx="12">
                  <c:v>0.45</c:v>
                </c:pt>
                <c:pt idx="13">
                  <c:v>0.5</c:v>
                </c:pt>
              </c:numCache>
            </c:numRef>
          </c:xVal>
          <c:yVal>
            <c:numRef>
              <c:f>'IRR inputs &amp; outputs'!$B$24:$O$24</c:f>
              <c:numCache>
                <c:formatCode>0%</c:formatCode>
                <c:ptCount val="14"/>
                <c:pt idx="0">
                  <c:v>#N/A</c:v>
                </c:pt>
                <c:pt idx="1">
                  <c:v>-0.22458895903526999</c:v>
                </c:pt>
                <c:pt idx="2">
                  <c:v>-7.169660019572166E-2</c:v>
                </c:pt>
                <c:pt idx="3">
                  <c:v>4.039229749744444E-2</c:v>
                </c:pt>
                <c:pt idx="4">
                  <c:v>0.13516733021470517</c:v>
                </c:pt>
                <c:pt idx="5">
                  <c:v>0.22064614659738813</c:v>
                </c:pt>
                <c:pt idx="6">
                  <c:v>0.30047107009996865</c:v>
                </c:pt>
                <c:pt idx="7">
                  <c:v>0.37657059887914834</c:v>
                </c:pt>
                <c:pt idx="8">
                  <c:v>0.45007183236574888</c:v>
                </c:pt>
                <c:pt idx="9">
                  <c:v>0.59186846101973511</c:v>
                </c:pt>
                <c:pt idx="10">
                  <c:v>0.72917484602536731</c:v>
                </c:pt>
                <c:pt idx="11">
                  <c:v>0.86365184039542142</c:v>
                </c:pt>
                <c:pt idx="12">
                  <c:v>0.99623521710799134</c:v>
                </c:pt>
                <c:pt idx="13">
                  <c:v>1.1274968814396522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EB-4506-9FE1-AD31552FAA7C}"/>
            </c:ext>
          </c:extLst>
        </c:ser>
        <c:ser>
          <c:idx val="1"/>
          <c:order val="1"/>
          <c:tx>
            <c:v>NSP regulated return rate</c:v>
          </c:tx>
          <c:spPr>
            <a:ln w="38100"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'IRR inputs &amp; outputs'!$B$23:$O$23</c:f>
              <c:numCache>
                <c:formatCode>0.0%</c:formatCode>
                <c:ptCount val="14"/>
                <c:pt idx="0">
                  <c:v>0.05</c:v>
                </c:pt>
                <c:pt idx="1">
                  <c:v>7.4999999999999997E-2</c:v>
                </c:pt>
                <c:pt idx="2">
                  <c:v>0.1</c:v>
                </c:pt>
                <c:pt idx="3">
                  <c:v>0.125</c:v>
                </c:pt>
                <c:pt idx="4">
                  <c:v>0.15</c:v>
                </c:pt>
                <c:pt idx="5">
                  <c:v>0.17499999999999999</c:v>
                </c:pt>
                <c:pt idx="6">
                  <c:v>0.2</c:v>
                </c:pt>
                <c:pt idx="7">
                  <c:v>0.22500000000000001</c:v>
                </c:pt>
                <c:pt idx="8">
                  <c:v>0.25</c:v>
                </c:pt>
                <c:pt idx="9">
                  <c:v>0.3</c:v>
                </c:pt>
                <c:pt idx="10">
                  <c:v>0.35</c:v>
                </c:pt>
                <c:pt idx="11">
                  <c:v>0.4</c:v>
                </c:pt>
                <c:pt idx="12">
                  <c:v>0.45</c:v>
                </c:pt>
                <c:pt idx="13">
                  <c:v>0.5</c:v>
                </c:pt>
              </c:numCache>
            </c:numRef>
          </c:xVal>
          <c:yVal>
            <c:numRef>
              <c:f>'IRR inputs &amp; outputs'!$B$26:$O$26</c:f>
              <c:numCache>
                <c:formatCode>0.00%</c:formatCode>
                <c:ptCount val="14"/>
                <c:pt idx="0">
                  <c:v>5.8500000000000003E-2</c:v>
                </c:pt>
                <c:pt idx="1">
                  <c:v>5.8500000000000003E-2</c:v>
                </c:pt>
                <c:pt idx="2">
                  <c:v>5.8500000000000003E-2</c:v>
                </c:pt>
                <c:pt idx="3">
                  <c:v>5.8500000000000003E-2</c:v>
                </c:pt>
                <c:pt idx="4">
                  <c:v>5.8500000000000003E-2</c:v>
                </c:pt>
                <c:pt idx="5">
                  <c:v>5.8500000000000003E-2</c:v>
                </c:pt>
                <c:pt idx="6">
                  <c:v>5.8500000000000003E-2</c:v>
                </c:pt>
                <c:pt idx="7">
                  <c:v>5.8500000000000003E-2</c:v>
                </c:pt>
                <c:pt idx="8">
                  <c:v>5.8500000000000003E-2</c:v>
                </c:pt>
                <c:pt idx="9">
                  <c:v>5.8500000000000003E-2</c:v>
                </c:pt>
                <c:pt idx="10">
                  <c:v>5.8500000000000003E-2</c:v>
                </c:pt>
                <c:pt idx="11">
                  <c:v>5.8500000000000003E-2</c:v>
                </c:pt>
                <c:pt idx="12">
                  <c:v>5.8500000000000003E-2</c:v>
                </c:pt>
                <c:pt idx="13">
                  <c:v>5.8500000000000003E-2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EB-4506-9FE1-AD31552FAA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5088000"/>
        <c:axId val="585089440"/>
      </c:scatterChart>
      <c:valAx>
        <c:axId val="585088000"/>
        <c:scaling>
          <c:orientation val="minMax"/>
          <c:max val="0.3"/>
          <c:min val="0.0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Utilisation (% per charging space)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5089440"/>
        <c:crosses val="autoZero"/>
        <c:crossBetween val="midCat"/>
      </c:valAx>
      <c:valAx>
        <c:axId val="585089440"/>
        <c:scaling>
          <c:orientation val="minMax"/>
          <c:max val="0.6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Internal Rate of Return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5088000"/>
        <c:crosses val="autoZero"/>
        <c:crossBetween val="midCat"/>
      </c:valAx>
    </c:plotArea>
    <c:legend>
      <c:legendPos val="t"/>
      <c:layout>
        <c:manualLayout>
          <c:xMode val="edge"/>
          <c:yMode val="edge"/>
          <c:x val="0.27871638242529101"/>
          <c:y val="0.15183600713012482"/>
          <c:w val="0.59503360286242246"/>
          <c:h val="6.446671438797423E-2"/>
        </c:manualLayout>
      </c:layout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{"IRR"}</c:f>
              <c:strCache>
                <c:ptCount val="1"/>
                <c:pt idx="0">
                  <c:v>IRR</c:v>
                </c:pt>
              </c:strCache>
            </c:strRef>
          </c:tx>
          <c:spPr>
            <a:ln w="38100">
              <a:solidFill>
                <a:srgbClr val="FF0000"/>
              </a:solidFill>
              <a:prstDash val="solid"/>
            </a:ln>
          </c:spPr>
          <c:marker>
            <c:symbol val="none"/>
          </c:marker>
          <c:xVal>
            <c:numRef>
              <c:f>'IRR inputs &amp; outputs'!$B$23:$O$23</c:f>
              <c:numCache>
                <c:formatCode>0.0%</c:formatCode>
                <c:ptCount val="14"/>
                <c:pt idx="0">
                  <c:v>0.05</c:v>
                </c:pt>
                <c:pt idx="1">
                  <c:v>7.4999999999999997E-2</c:v>
                </c:pt>
                <c:pt idx="2">
                  <c:v>0.1</c:v>
                </c:pt>
                <c:pt idx="3">
                  <c:v>0.125</c:v>
                </c:pt>
                <c:pt idx="4">
                  <c:v>0.15</c:v>
                </c:pt>
                <c:pt idx="5">
                  <c:v>0.17499999999999999</c:v>
                </c:pt>
                <c:pt idx="6">
                  <c:v>0.2</c:v>
                </c:pt>
                <c:pt idx="7">
                  <c:v>0.22500000000000001</c:v>
                </c:pt>
                <c:pt idx="8">
                  <c:v>0.25</c:v>
                </c:pt>
                <c:pt idx="9">
                  <c:v>0.3</c:v>
                </c:pt>
                <c:pt idx="10">
                  <c:v>0.35</c:v>
                </c:pt>
                <c:pt idx="11">
                  <c:v>0.4</c:v>
                </c:pt>
                <c:pt idx="12">
                  <c:v>0.45</c:v>
                </c:pt>
                <c:pt idx="13">
                  <c:v>0.5</c:v>
                </c:pt>
              </c:numCache>
            </c:numRef>
          </c:xVal>
          <c:yVal>
            <c:numRef>
              <c:f>'IRR inputs &amp; outputs'!$B$24:$O$24</c:f>
              <c:numCache>
                <c:formatCode>0%</c:formatCode>
                <c:ptCount val="14"/>
                <c:pt idx="0">
                  <c:v>#N/A</c:v>
                </c:pt>
                <c:pt idx="1">
                  <c:v>-0.22458895903526999</c:v>
                </c:pt>
                <c:pt idx="2">
                  <c:v>-7.169660019572166E-2</c:v>
                </c:pt>
                <c:pt idx="3">
                  <c:v>4.039229749744444E-2</c:v>
                </c:pt>
                <c:pt idx="4">
                  <c:v>0.13516733021470517</c:v>
                </c:pt>
                <c:pt idx="5">
                  <c:v>0.22064614659738813</c:v>
                </c:pt>
                <c:pt idx="6">
                  <c:v>0.30047107009996865</c:v>
                </c:pt>
                <c:pt idx="7">
                  <c:v>0.37657059887914834</c:v>
                </c:pt>
                <c:pt idx="8">
                  <c:v>0.45007183236574888</c:v>
                </c:pt>
                <c:pt idx="9">
                  <c:v>0.59186846101973511</c:v>
                </c:pt>
                <c:pt idx="10">
                  <c:v>0.72917484602536731</c:v>
                </c:pt>
                <c:pt idx="11">
                  <c:v>0.86365184039542142</c:v>
                </c:pt>
                <c:pt idx="12">
                  <c:v>0.99623521710799134</c:v>
                </c:pt>
                <c:pt idx="13">
                  <c:v>1.1274968814396522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A6-4632-93CA-87EAE6CE95B8}"/>
            </c:ext>
          </c:extLst>
        </c:ser>
        <c:ser>
          <c:idx val="3"/>
          <c:order val="1"/>
          <c:tx>
            <c:strRef>
              <c:f>'IRR inputs &amp; outputs'!$A$27</c:f>
              <c:strCache>
                <c:ptCount val="1"/>
                <c:pt idx="0">
                  <c:v>Commercial
hurdle rate</c:v>
                </c:pt>
              </c:strCache>
            </c:strRef>
          </c:tx>
          <c:spPr>
            <a:ln w="38100">
              <a:solidFill>
                <a:srgbClr val="7030A0"/>
              </a:solidFill>
              <a:prstDash val="solid"/>
            </a:ln>
          </c:spPr>
          <c:marker>
            <c:symbol val="none"/>
          </c:marker>
          <c:xVal>
            <c:numRef>
              <c:f>'IRR inputs &amp; outputs'!$B$23:$O$23</c:f>
              <c:numCache>
                <c:formatCode>0.0%</c:formatCode>
                <c:ptCount val="14"/>
                <c:pt idx="0">
                  <c:v>0.05</c:v>
                </c:pt>
                <c:pt idx="1">
                  <c:v>7.4999999999999997E-2</c:v>
                </c:pt>
                <c:pt idx="2">
                  <c:v>0.1</c:v>
                </c:pt>
                <c:pt idx="3">
                  <c:v>0.125</c:v>
                </c:pt>
                <c:pt idx="4">
                  <c:v>0.15</c:v>
                </c:pt>
                <c:pt idx="5">
                  <c:v>0.17499999999999999</c:v>
                </c:pt>
                <c:pt idx="6">
                  <c:v>0.2</c:v>
                </c:pt>
                <c:pt idx="7">
                  <c:v>0.22500000000000001</c:v>
                </c:pt>
                <c:pt idx="8">
                  <c:v>0.25</c:v>
                </c:pt>
                <c:pt idx="9">
                  <c:v>0.3</c:v>
                </c:pt>
                <c:pt idx="10">
                  <c:v>0.35</c:v>
                </c:pt>
                <c:pt idx="11">
                  <c:v>0.4</c:v>
                </c:pt>
                <c:pt idx="12">
                  <c:v>0.45</c:v>
                </c:pt>
                <c:pt idx="13">
                  <c:v>0.5</c:v>
                </c:pt>
              </c:numCache>
            </c:numRef>
          </c:xVal>
          <c:yVal>
            <c:numRef>
              <c:f>'IRR inputs &amp; outputs'!$B$27:$O$27</c:f>
              <c:numCache>
                <c:formatCode>0%</c:formatCode>
                <c:ptCount val="14"/>
                <c:pt idx="0">
                  <c:v>0.12</c:v>
                </c:pt>
                <c:pt idx="1">
                  <c:v>0.12</c:v>
                </c:pt>
                <c:pt idx="2">
                  <c:v>0.12</c:v>
                </c:pt>
                <c:pt idx="3">
                  <c:v>0.12</c:v>
                </c:pt>
                <c:pt idx="4">
                  <c:v>0.12</c:v>
                </c:pt>
                <c:pt idx="5">
                  <c:v>0.12</c:v>
                </c:pt>
                <c:pt idx="6">
                  <c:v>0.12</c:v>
                </c:pt>
                <c:pt idx="7">
                  <c:v>0.12</c:v>
                </c:pt>
                <c:pt idx="8">
                  <c:v>0.12</c:v>
                </c:pt>
                <c:pt idx="9">
                  <c:v>0.12</c:v>
                </c:pt>
                <c:pt idx="10">
                  <c:v>0.12</c:v>
                </c:pt>
                <c:pt idx="11">
                  <c:v>0.12</c:v>
                </c:pt>
                <c:pt idx="12">
                  <c:v>0.12</c:v>
                </c:pt>
                <c:pt idx="13">
                  <c:v>0.12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A6-4632-93CA-87EAE6CE95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5088000"/>
        <c:axId val="585089440"/>
      </c:scatterChart>
      <c:valAx>
        <c:axId val="585088000"/>
        <c:scaling>
          <c:orientation val="minMax"/>
          <c:max val="0.3"/>
          <c:min val="0.0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Utilisation (% per charging space)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5089440"/>
        <c:crosses val="autoZero"/>
        <c:crossBetween val="midCat"/>
      </c:valAx>
      <c:valAx>
        <c:axId val="585089440"/>
        <c:scaling>
          <c:orientation val="minMax"/>
          <c:max val="0.6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Internal Rate of Return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5088000"/>
        <c:crosses val="autoZero"/>
        <c:crossBetween val="midCat"/>
      </c:valAx>
    </c:plotArea>
    <c:legend>
      <c:legendPos val="t"/>
      <c:layout>
        <c:manualLayout>
          <c:xMode val="edge"/>
          <c:yMode val="edge"/>
          <c:x val="0.1"/>
          <c:y val="0.17231638418079095"/>
          <c:w val="0.9"/>
          <c:h val="6.8108901641532091E-2"/>
        </c:manualLayout>
      </c:layout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{"IRR - AC"}</c:f>
              <c:strCache>
                <c:ptCount val="1"/>
                <c:pt idx="0">
                  <c:v>IRR - AC</c:v>
                </c:pt>
              </c:strCache>
            </c:strRef>
          </c:tx>
          <c:spPr>
            <a:ln w="38100">
              <a:solidFill>
                <a:srgbClr val="ED7D31"/>
              </a:solidFill>
              <a:prstDash val="solid"/>
            </a:ln>
          </c:spPr>
          <c:marker>
            <c:symbol val="square"/>
            <c:size val="10"/>
            <c:spPr>
              <a:solidFill>
                <a:srgbClr val="ED7D31"/>
              </a:solidFill>
              <a:ln w="6350">
                <a:noFill/>
              </a:ln>
            </c:spPr>
          </c:marker>
          <c:xVal>
            <c:numRef>
              <c:f>'IRR inputs &amp; outputs'!$B$23:$O$23</c:f>
              <c:numCache>
                <c:formatCode>0.0%</c:formatCode>
                <c:ptCount val="14"/>
                <c:pt idx="0">
                  <c:v>0.05</c:v>
                </c:pt>
                <c:pt idx="1">
                  <c:v>7.4999999999999997E-2</c:v>
                </c:pt>
                <c:pt idx="2">
                  <c:v>0.1</c:v>
                </c:pt>
                <c:pt idx="3">
                  <c:v>0.125</c:v>
                </c:pt>
                <c:pt idx="4">
                  <c:v>0.15</c:v>
                </c:pt>
                <c:pt idx="5">
                  <c:v>0.17499999999999999</c:v>
                </c:pt>
                <c:pt idx="6">
                  <c:v>0.2</c:v>
                </c:pt>
                <c:pt idx="7">
                  <c:v>0.22500000000000001</c:v>
                </c:pt>
                <c:pt idx="8">
                  <c:v>0.25</c:v>
                </c:pt>
                <c:pt idx="9">
                  <c:v>0.3</c:v>
                </c:pt>
                <c:pt idx="10">
                  <c:v>0.35</c:v>
                </c:pt>
                <c:pt idx="11">
                  <c:v>0.4</c:v>
                </c:pt>
                <c:pt idx="12">
                  <c:v>0.45</c:v>
                </c:pt>
                <c:pt idx="13">
                  <c:v>0.5</c:v>
                </c:pt>
              </c:numCache>
            </c:numRef>
          </c:xVal>
          <c:yVal>
            <c:numRef>
              <c:f>'IRR inputs &amp; outputs'!$B$36:$O$36</c:f>
              <c:numCache>
                <c:formatCode>0%</c:formatCode>
                <c:ptCount val="14"/>
                <c:pt idx="0" formatCode="General">
                  <c:v>#N/A</c:v>
                </c:pt>
                <c:pt idx="1">
                  <c:v>#N/A</c:v>
                </c:pt>
                <c:pt idx="2">
                  <c:v>-0.1402536508409058</c:v>
                </c:pt>
                <c:pt idx="3">
                  <c:v>3.8653941636569877E-2</c:v>
                </c:pt>
                <c:pt idx="4">
                  <c:v>0.1721080152362886</c:v>
                </c:pt>
                <c:pt idx="5">
                  <c:v>0.28859849147879357</c:v>
                </c:pt>
                <c:pt idx="6">
                  <c:v>0.3966920781238743</c:v>
                </c:pt>
                <c:pt idx="7">
                  <c:v>0.49999065389539377</c:v>
                </c:pt>
                <c:pt idx="8">
                  <c:v>0.60028947658977572</c:v>
                </c:pt>
                <c:pt idx="9">
                  <c:v>0.79547960959814712</c:v>
                </c:pt>
                <c:pt idx="10">
                  <c:v>0.98646359812654372</c:v>
                </c:pt>
                <c:pt idx="11">
                  <c:v>1.1750597498561999</c:v>
                </c:pt>
                <c:pt idx="12">
                  <c:v>1.3621897744417741</c:v>
                </c:pt>
                <c:pt idx="13">
                  <c:v>1.5483711970213205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BC8-4E66-88F0-1E1F1E51957A}"/>
            </c:ext>
          </c:extLst>
        </c:ser>
        <c:ser>
          <c:idx val="1"/>
          <c:order val="1"/>
          <c:tx>
            <c:strRef>
              <c:f>{"IRR - DC"}</c:f>
              <c:strCache>
                <c:ptCount val="1"/>
                <c:pt idx="0">
                  <c:v>IRR - DC</c:v>
                </c:pt>
              </c:strCache>
            </c:strRef>
          </c:tx>
          <c:spPr>
            <a:ln w="38100">
              <a:solidFill>
                <a:srgbClr val="5B9BD5"/>
              </a:solidFill>
              <a:prstDash val="solid"/>
            </a:ln>
          </c:spPr>
          <c:marker>
            <c:symbol val="triangle"/>
            <c:size val="10"/>
            <c:spPr>
              <a:solidFill>
                <a:srgbClr val="5B9BD5"/>
              </a:solidFill>
              <a:ln w="6350">
                <a:noFill/>
              </a:ln>
            </c:spPr>
          </c:marker>
          <c:xVal>
            <c:numRef>
              <c:f>'IRR inputs &amp; outputs'!$B$23:$O$23</c:f>
              <c:numCache>
                <c:formatCode>0.0%</c:formatCode>
                <c:ptCount val="14"/>
                <c:pt idx="0">
                  <c:v>0.05</c:v>
                </c:pt>
                <c:pt idx="1">
                  <c:v>7.4999999999999997E-2</c:v>
                </c:pt>
                <c:pt idx="2">
                  <c:v>0.1</c:v>
                </c:pt>
                <c:pt idx="3">
                  <c:v>0.125</c:v>
                </c:pt>
                <c:pt idx="4">
                  <c:v>0.15</c:v>
                </c:pt>
                <c:pt idx="5">
                  <c:v>0.17499999999999999</c:v>
                </c:pt>
                <c:pt idx="6">
                  <c:v>0.2</c:v>
                </c:pt>
                <c:pt idx="7">
                  <c:v>0.22500000000000001</c:v>
                </c:pt>
                <c:pt idx="8">
                  <c:v>0.25</c:v>
                </c:pt>
                <c:pt idx="9">
                  <c:v>0.3</c:v>
                </c:pt>
                <c:pt idx="10">
                  <c:v>0.35</c:v>
                </c:pt>
                <c:pt idx="11">
                  <c:v>0.4</c:v>
                </c:pt>
                <c:pt idx="12">
                  <c:v>0.45</c:v>
                </c:pt>
                <c:pt idx="13">
                  <c:v>0.5</c:v>
                </c:pt>
              </c:numCache>
            </c:numRef>
          </c:xVal>
          <c:yVal>
            <c:numRef>
              <c:f>'IRR inputs &amp; outputs'!$B$37:$O$37</c:f>
              <c:numCache>
                <c:formatCode>0%</c:formatCode>
                <c:ptCount val="14"/>
                <c:pt idx="0">
                  <c:v>#N/A</c:v>
                </c:pt>
                <c:pt idx="1">
                  <c:v>-0.22458895903526999</c:v>
                </c:pt>
                <c:pt idx="2">
                  <c:v>-7.169660019572166E-2</c:v>
                </c:pt>
                <c:pt idx="3">
                  <c:v>4.039229749744444E-2</c:v>
                </c:pt>
                <c:pt idx="4">
                  <c:v>0.13516733021470517</c:v>
                </c:pt>
                <c:pt idx="5">
                  <c:v>0.22064614659738813</c:v>
                </c:pt>
                <c:pt idx="6">
                  <c:v>0.30047107009996865</c:v>
                </c:pt>
                <c:pt idx="7">
                  <c:v>0.37657059887914834</c:v>
                </c:pt>
                <c:pt idx="8">
                  <c:v>0.45007183236574888</c:v>
                </c:pt>
                <c:pt idx="9">
                  <c:v>0.59186846101973511</c:v>
                </c:pt>
                <c:pt idx="10">
                  <c:v>0.72917484602536731</c:v>
                </c:pt>
                <c:pt idx="11">
                  <c:v>0.86365184039542142</c:v>
                </c:pt>
                <c:pt idx="12">
                  <c:v>0.99623521710799134</c:v>
                </c:pt>
                <c:pt idx="13">
                  <c:v>1.1274968814396522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DD2-4718-9A48-4261E24C41B2}"/>
            </c:ext>
          </c:extLst>
        </c:ser>
        <c:ser>
          <c:idx val="3"/>
          <c:order val="2"/>
          <c:tx>
            <c:strRef>
              <c:f>'IRR inputs &amp; outputs'!$A$27</c:f>
              <c:strCache>
                <c:ptCount val="1"/>
                <c:pt idx="0">
                  <c:v>Commercial
hurdle rate</c:v>
                </c:pt>
              </c:strCache>
            </c:strRef>
          </c:tx>
          <c:spPr>
            <a:ln w="38100">
              <a:solidFill>
                <a:srgbClr val="7030A0"/>
              </a:solidFill>
              <a:prstDash val="solid"/>
            </a:ln>
          </c:spPr>
          <c:marker>
            <c:symbol val="none"/>
          </c:marker>
          <c:xVal>
            <c:numRef>
              <c:f>'IRR inputs &amp; outputs'!$B$23:$O$23</c:f>
              <c:numCache>
                <c:formatCode>0.0%</c:formatCode>
                <c:ptCount val="14"/>
                <c:pt idx="0">
                  <c:v>0.05</c:v>
                </c:pt>
                <c:pt idx="1">
                  <c:v>7.4999999999999997E-2</c:v>
                </c:pt>
                <c:pt idx="2">
                  <c:v>0.1</c:v>
                </c:pt>
                <c:pt idx="3">
                  <c:v>0.125</c:v>
                </c:pt>
                <c:pt idx="4">
                  <c:v>0.15</c:v>
                </c:pt>
                <c:pt idx="5">
                  <c:v>0.17499999999999999</c:v>
                </c:pt>
                <c:pt idx="6">
                  <c:v>0.2</c:v>
                </c:pt>
                <c:pt idx="7">
                  <c:v>0.22500000000000001</c:v>
                </c:pt>
                <c:pt idx="8">
                  <c:v>0.25</c:v>
                </c:pt>
                <c:pt idx="9">
                  <c:v>0.3</c:v>
                </c:pt>
                <c:pt idx="10">
                  <c:v>0.35</c:v>
                </c:pt>
                <c:pt idx="11">
                  <c:v>0.4</c:v>
                </c:pt>
                <c:pt idx="12">
                  <c:v>0.45</c:v>
                </c:pt>
                <c:pt idx="13">
                  <c:v>0.5</c:v>
                </c:pt>
              </c:numCache>
            </c:numRef>
          </c:xVal>
          <c:yVal>
            <c:numRef>
              <c:f>'IRR inputs &amp; outputs'!$B$27:$O$27</c:f>
              <c:numCache>
                <c:formatCode>0%</c:formatCode>
                <c:ptCount val="14"/>
                <c:pt idx="0">
                  <c:v>0.12</c:v>
                </c:pt>
                <c:pt idx="1">
                  <c:v>0.12</c:v>
                </c:pt>
                <c:pt idx="2">
                  <c:v>0.12</c:v>
                </c:pt>
                <c:pt idx="3">
                  <c:v>0.12</c:v>
                </c:pt>
                <c:pt idx="4">
                  <c:v>0.12</c:v>
                </c:pt>
                <c:pt idx="5">
                  <c:v>0.12</c:v>
                </c:pt>
                <c:pt idx="6">
                  <c:v>0.12</c:v>
                </c:pt>
                <c:pt idx="7">
                  <c:v>0.12</c:v>
                </c:pt>
                <c:pt idx="8">
                  <c:v>0.12</c:v>
                </c:pt>
                <c:pt idx="9">
                  <c:v>0.12</c:v>
                </c:pt>
                <c:pt idx="10">
                  <c:v>0.12</c:v>
                </c:pt>
                <c:pt idx="11">
                  <c:v>0.12</c:v>
                </c:pt>
                <c:pt idx="12">
                  <c:v>0.12</c:v>
                </c:pt>
                <c:pt idx="13">
                  <c:v>0.12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BC8-4E66-88F0-1E1F1E5195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5088000"/>
        <c:axId val="585089440"/>
      </c:scatterChart>
      <c:valAx>
        <c:axId val="585088000"/>
        <c:scaling>
          <c:orientation val="minMax"/>
          <c:max val="0.3"/>
          <c:min val="0.0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Utilisation (% per charging space)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5089440"/>
        <c:crosses val="autoZero"/>
        <c:crossBetween val="midCat"/>
      </c:valAx>
      <c:valAx>
        <c:axId val="585089440"/>
        <c:scaling>
          <c:orientation val="minMax"/>
          <c:max val="0.6"/>
          <c:min val="-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Internal Rate of Return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508800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32664595086529"/>
          <c:y val="0.33886327054422066"/>
          <c:w val="0.20090727164851521"/>
          <c:h val="0.33332405272545351"/>
        </c:manualLayout>
      </c:layout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{"IRR - AC"}</c:f>
              <c:strCache>
                <c:ptCount val="1"/>
                <c:pt idx="0">
                  <c:v>IRR - AC</c:v>
                </c:pt>
              </c:strCache>
            </c:strRef>
          </c:tx>
          <c:spPr>
            <a:ln w="38100">
              <a:solidFill>
                <a:srgbClr val="ED7D31"/>
              </a:solidFill>
              <a:prstDash val="solid"/>
            </a:ln>
          </c:spPr>
          <c:marker>
            <c:symbol val="square"/>
            <c:size val="10"/>
            <c:spPr>
              <a:solidFill>
                <a:srgbClr val="ED7D31"/>
              </a:solidFill>
              <a:ln w="6350">
                <a:noFill/>
              </a:ln>
            </c:spPr>
          </c:marker>
          <c:xVal>
            <c:numRef>
              <c:f>'IRR inputs &amp; outputs'!$B$23:$O$23</c:f>
              <c:numCache>
                <c:formatCode>0.0%</c:formatCode>
                <c:ptCount val="14"/>
                <c:pt idx="0">
                  <c:v>0.05</c:v>
                </c:pt>
                <c:pt idx="1">
                  <c:v>7.4999999999999997E-2</c:v>
                </c:pt>
                <c:pt idx="2">
                  <c:v>0.1</c:v>
                </c:pt>
                <c:pt idx="3">
                  <c:v>0.125</c:v>
                </c:pt>
                <c:pt idx="4">
                  <c:v>0.15</c:v>
                </c:pt>
                <c:pt idx="5">
                  <c:v>0.17499999999999999</c:v>
                </c:pt>
                <c:pt idx="6">
                  <c:v>0.2</c:v>
                </c:pt>
                <c:pt idx="7">
                  <c:v>0.22500000000000001</c:v>
                </c:pt>
                <c:pt idx="8">
                  <c:v>0.25</c:v>
                </c:pt>
                <c:pt idx="9">
                  <c:v>0.3</c:v>
                </c:pt>
                <c:pt idx="10">
                  <c:v>0.35</c:v>
                </c:pt>
                <c:pt idx="11">
                  <c:v>0.4</c:v>
                </c:pt>
                <c:pt idx="12">
                  <c:v>0.45</c:v>
                </c:pt>
                <c:pt idx="13">
                  <c:v>0.5</c:v>
                </c:pt>
              </c:numCache>
            </c:numRef>
          </c:xVal>
          <c:yVal>
            <c:numRef>
              <c:f>'IRR inputs &amp; outputs'!B40:O40</c:f>
              <c:numCache>
                <c:formatCode>0%</c:formatCode>
                <c:ptCount val="14"/>
                <c:pt idx="0">
                  <c:v>#N/A</c:v>
                </c:pt>
                <c:pt idx="1">
                  <c:v>#N/A</c:v>
                </c:pt>
                <c:pt idx="2">
                  <c:v>2.2583599817507016E-2</c:v>
                </c:pt>
                <c:pt idx="3">
                  <c:v>0.5115377550138378</c:v>
                </c:pt>
                <c:pt idx="4">
                  <c:v>0.91626570452973577</c:v>
                </c:pt>
                <c:pt idx="5">
                  <c:v>1.2840089898062232</c:v>
                </c:pt>
                <c:pt idx="6">
                  <c:v>1.636885187112683</c:v>
                </c:pt>
                <c:pt idx="7">
                  <c:v>1.9828369456282506</c:v>
                </c:pt>
                <c:pt idx="8">
                  <c:v>2.3252141652988474</c:v>
                </c:pt>
                <c:pt idx="9">
                  <c:v>3.0048313122200794</c:v>
                </c:pt>
                <c:pt idx="10">
                  <c:v>3.6813924149422554</c:v>
                </c:pt>
                <c:pt idx="11">
                  <c:v>4.3566921277625426</c:v>
                </c:pt>
                <c:pt idx="12">
                  <c:v>5.0314073142070157</c:v>
                </c:pt>
                <c:pt idx="13">
                  <c:v>5.7058267036082295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6C-47E4-B7F4-8A1293E7CB34}"/>
            </c:ext>
          </c:extLst>
        </c:ser>
        <c:ser>
          <c:idx val="1"/>
          <c:order val="1"/>
          <c:tx>
            <c:strRef>
              <c:f>{"IRR - DC"}</c:f>
              <c:strCache>
                <c:ptCount val="1"/>
                <c:pt idx="0">
                  <c:v>IRR - DC</c:v>
                </c:pt>
              </c:strCache>
            </c:strRef>
          </c:tx>
          <c:spPr>
            <a:ln w="38100">
              <a:solidFill>
                <a:srgbClr val="5B9BD5"/>
              </a:solidFill>
              <a:prstDash val="solid"/>
            </a:ln>
          </c:spPr>
          <c:marker>
            <c:symbol val="triangle"/>
            <c:size val="10"/>
            <c:spPr>
              <a:solidFill>
                <a:srgbClr val="5B9BD5"/>
              </a:solidFill>
              <a:ln w="6350">
                <a:noFill/>
              </a:ln>
            </c:spPr>
          </c:marker>
          <c:xVal>
            <c:numRef>
              <c:f>'IRR inputs &amp; outputs'!$B$23:$O$23</c:f>
              <c:numCache>
                <c:formatCode>0.0%</c:formatCode>
                <c:ptCount val="14"/>
                <c:pt idx="0">
                  <c:v>0.05</c:v>
                </c:pt>
                <c:pt idx="1">
                  <c:v>7.4999999999999997E-2</c:v>
                </c:pt>
                <c:pt idx="2">
                  <c:v>0.1</c:v>
                </c:pt>
                <c:pt idx="3">
                  <c:v>0.125</c:v>
                </c:pt>
                <c:pt idx="4">
                  <c:v>0.15</c:v>
                </c:pt>
                <c:pt idx="5">
                  <c:v>0.17499999999999999</c:v>
                </c:pt>
                <c:pt idx="6">
                  <c:v>0.2</c:v>
                </c:pt>
                <c:pt idx="7">
                  <c:v>0.22500000000000001</c:v>
                </c:pt>
                <c:pt idx="8">
                  <c:v>0.25</c:v>
                </c:pt>
                <c:pt idx="9">
                  <c:v>0.3</c:v>
                </c:pt>
                <c:pt idx="10">
                  <c:v>0.35</c:v>
                </c:pt>
                <c:pt idx="11">
                  <c:v>0.4</c:v>
                </c:pt>
                <c:pt idx="12">
                  <c:v>0.45</c:v>
                </c:pt>
                <c:pt idx="13">
                  <c:v>0.5</c:v>
                </c:pt>
              </c:numCache>
            </c:numRef>
          </c:xVal>
          <c:yVal>
            <c:numRef>
              <c:f>'IRR inputs &amp; outputs'!B41:O41</c:f>
              <c:numCache>
                <c:formatCode>0%</c:formatCode>
                <c:ptCount val="14"/>
                <c:pt idx="0">
                  <c:v>#N/A</c:v>
                </c:pt>
                <c:pt idx="1">
                  <c:v>-0.14319063868723692</c:v>
                </c:pt>
                <c:pt idx="2">
                  <c:v>0.30007405451239322</c:v>
                </c:pt>
                <c:pt idx="3">
                  <c:v>0.7453538337810679</c:v>
                </c:pt>
                <c:pt idx="4">
                  <c:v>1.1037603846642958</c:v>
                </c:pt>
                <c:pt idx="5">
                  <c:v>1.4302937323976956</c:v>
                </c:pt>
                <c:pt idx="6">
                  <c:v>1.7428790694929486</c:v>
                </c:pt>
                <c:pt idx="7">
                  <c:v>2.0483764307939971</c:v>
                </c:pt>
                <c:pt idx="8">
                  <c:v>2.3499220009827781</c:v>
                </c:pt>
                <c:pt idx="9">
                  <c:v>2.9468522486340971</c:v>
                </c:pt>
                <c:pt idx="10">
                  <c:v>3.5397899746459904</c:v>
                </c:pt>
                <c:pt idx="11">
                  <c:v>4.1309216639718764</c:v>
                </c:pt>
                <c:pt idx="12">
                  <c:v>4.7211535471769013</c:v>
                </c:pt>
                <c:pt idx="13">
                  <c:v>5.3109027065962922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6C-47E4-B7F4-8A1293E7CB34}"/>
            </c:ext>
          </c:extLst>
        </c:ser>
        <c:ser>
          <c:idx val="3"/>
          <c:order val="2"/>
          <c:tx>
            <c:strRef>
              <c:f>'IRR inputs &amp; outputs'!$A$27</c:f>
              <c:strCache>
                <c:ptCount val="1"/>
                <c:pt idx="0">
                  <c:v>Commercial
hurdle rate</c:v>
                </c:pt>
              </c:strCache>
            </c:strRef>
          </c:tx>
          <c:spPr>
            <a:ln w="38100">
              <a:solidFill>
                <a:srgbClr val="7030A0"/>
              </a:solidFill>
              <a:prstDash val="solid"/>
            </a:ln>
          </c:spPr>
          <c:marker>
            <c:symbol val="none"/>
          </c:marker>
          <c:xVal>
            <c:numRef>
              <c:f>'IRR inputs &amp; outputs'!$B$23:$O$23</c:f>
              <c:numCache>
                <c:formatCode>0.0%</c:formatCode>
                <c:ptCount val="14"/>
                <c:pt idx="0">
                  <c:v>0.05</c:v>
                </c:pt>
                <c:pt idx="1">
                  <c:v>7.4999999999999997E-2</c:v>
                </c:pt>
                <c:pt idx="2">
                  <c:v>0.1</c:v>
                </c:pt>
                <c:pt idx="3">
                  <c:v>0.125</c:v>
                </c:pt>
                <c:pt idx="4">
                  <c:v>0.15</c:v>
                </c:pt>
                <c:pt idx="5">
                  <c:v>0.17499999999999999</c:v>
                </c:pt>
                <c:pt idx="6">
                  <c:v>0.2</c:v>
                </c:pt>
                <c:pt idx="7">
                  <c:v>0.22500000000000001</c:v>
                </c:pt>
                <c:pt idx="8">
                  <c:v>0.25</c:v>
                </c:pt>
                <c:pt idx="9">
                  <c:v>0.3</c:v>
                </c:pt>
                <c:pt idx="10">
                  <c:v>0.35</c:v>
                </c:pt>
                <c:pt idx="11">
                  <c:v>0.4</c:v>
                </c:pt>
                <c:pt idx="12">
                  <c:v>0.45</c:v>
                </c:pt>
                <c:pt idx="13">
                  <c:v>0.5</c:v>
                </c:pt>
              </c:numCache>
            </c:numRef>
          </c:xVal>
          <c:yVal>
            <c:numRef>
              <c:f>'IRR inputs &amp; outputs'!$B$27:$O$27</c:f>
              <c:numCache>
                <c:formatCode>0%</c:formatCode>
                <c:ptCount val="14"/>
                <c:pt idx="0">
                  <c:v>0.12</c:v>
                </c:pt>
                <c:pt idx="1">
                  <c:v>0.12</c:v>
                </c:pt>
                <c:pt idx="2">
                  <c:v>0.12</c:v>
                </c:pt>
                <c:pt idx="3">
                  <c:v>0.12</c:v>
                </c:pt>
                <c:pt idx="4">
                  <c:v>0.12</c:v>
                </c:pt>
                <c:pt idx="5">
                  <c:v>0.12</c:v>
                </c:pt>
                <c:pt idx="6">
                  <c:v>0.12</c:v>
                </c:pt>
                <c:pt idx="7">
                  <c:v>0.12</c:v>
                </c:pt>
                <c:pt idx="8">
                  <c:v>0.12</c:v>
                </c:pt>
                <c:pt idx="9">
                  <c:v>0.12</c:v>
                </c:pt>
                <c:pt idx="10">
                  <c:v>0.12</c:v>
                </c:pt>
                <c:pt idx="11">
                  <c:v>0.12</c:v>
                </c:pt>
                <c:pt idx="12">
                  <c:v>0.12</c:v>
                </c:pt>
                <c:pt idx="13">
                  <c:v>0.12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86C-47E4-B7F4-8A1293E7CB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5088000"/>
        <c:axId val="585089440"/>
      </c:scatterChart>
      <c:valAx>
        <c:axId val="585088000"/>
        <c:scaling>
          <c:orientation val="minMax"/>
          <c:max val="0.3"/>
          <c:min val="0.0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Utilisation (% per charging space)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5089440"/>
        <c:crosses val="autoZero"/>
        <c:crossBetween val="midCat"/>
      </c:valAx>
      <c:valAx>
        <c:axId val="585089440"/>
        <c:scaling>
          <c:orientation val="minMax"/>
          <c:max val="0.6"/>
          <c:min val="-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Internal Rate of Return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508800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32664595086529"/>
          <c:y val="0.33886327054422066"/>
          <c:w val="0.20090727164851521"/>
          <c:h val="0.33332405272545351"/>
        </c:manualLayout>
      </c:layout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{"IRR - AC"}</c:f>
              <c:strCache>
                <c:ptCount val="1"/>
                <c:pt idx="0">
                  <c:v>IRR - AC</c:v>
                </c:pt>
              </c:strCache>
            </c:strRef>
          </c:tx>
          <c:spPr>
            <a:ln w="38100">
              <a:solidFill>
                <a:srgbClr val="ED7D31"/>
              </a:solidFill>
              <a:prstDash val="solid"/>
            </a:ln>
          </c:spPr>
          <c:marker>
            <c:symbol val="square"/>
            <c:size val="10"/>
            <c:spPr>
              <a:solidFill>
                <a:srgbClr val="ED7D31"/>
              </a:solidFill>
              <a:ln w="6350">
                <a:noFill/>
              </a:ln>
            </c:spPr>
          </c:marker>
          <c:xVal>
            <c:numRef>
              <c:f>'IRR inputs &amp; outputs'!$B$23:$O$23</c:f>
              <c:numCache>
                <c:formatCode>0.0%</c:formatCode>
                <c:ptCount val="14"/>
                <c:pt idx="0">
                  <c:v>0.05</c:v>
                </c:pt>
                <c:pt idx="1">
                  <c:v>7.4999999999999997E-2</c:v>
                </c:pt>
                <c:pt idx="2">
                  <c:v>0.1</c:v>
                </c:pt>
                <c:pt idx="3">
                  <c:v>0.125</c:v>
                </c:pt>
                <c:pt idx="4">
                  <c:v>0.15</c:v>
                </c:pt>
                <c:pt idx="5">
                  <c:v>0.17499999999999999</c:v>
                </c:pt>
                <c:pt idx="6">
                  <c:v>0.2</c:v>
                </c:pt>
                <c:pt idx="7">
                  <c:v>0.22500000000000001</c:v>
                </c:pt>
                <c:pt idx="8">
                  <c:v>0.25</c:v>
                </c:pt>
                <c:pt idx="9">
                  <c:v>0.3</c:v>
                </c:pt>
                <c:pt idx="10">
                  <c:v>0.35</c:v>
                </c:pt>
                <c:pt idx="11">
                  <c:v>0.4</c:v>
                </c:pt>
                <c:pt idx="12">
                  <c:v>0.45</c:v>
                </c:pt>
                <c:pt idx="13">
                  <c:v>0.5</c:v>
                </c:pt>
              </c:numCache>
            </c:numRef>
          </c:xVal>
          <c:yVal>
            <c:numRef>
              <c:f>'IRR inputs &amp; outputs'!B45:O45</c:f>
              <c:numCache>
                <c:formatCode>0%</c:formatCode>
                <c:ptCount val="14"/>
                <c:pt idx="0">
                  <c:v>#N/A</c:v>
                </c:pt>
                <c:pt idx="1">
                  <c:v>#N/A</c:v>
                </c:pt>
                <c:pt idx="2">
                  <c:v>0.58195841752130995</c:v>
                </c:pt>
                <c:pt idx="3">
                  <c:v>1.899330526266283</c:v>
                </c:pt>
                <c:pt idx="4">
                  <c:v>2.9475491668254357</c:v>
                </c:pt>
                <c:pt idx="5">
                  <c:v>3.9691409423646942</c:v>
                </c:pt>
                <c:pt idx="6">
                  <c:v>4.9841047649119021</c:v>
                </c:pt>
                <c:pt idx="7">
                  <c:v>5.9968565254431638</c:v>
                </c:pt>
                <c:pt idx="8">
                  <c:v>7.008726081049824</c:v>
                </c:pt>
                <c:pt idx="9">
                  <c:v>9.0314694943548055</c:v>
                </c:pt>
                <c:pt idx="10">
                  <c:v>11.053742780157558</c:v>
                </c:pt>
                <c:pt idx="11">
                  <c:v>13.075861929342373</c:v>
                </c:pt>
                <c:pt idx="12">
                  <c:v>15.097920609866133</c:v>
                </c:pt>
                <c:pt idx="13">
                  <c:v>17.119952308712499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D1-4359-90E1-FE866FD071A2}"/>
            </c:ext>
          </c:extLst>
        </c:ser>
        <c:ser>
          <c:idx val="1"/>
          <c:order val="1"/>
          <c:tx>
            <c:strRef>
              <c:f>{"IRR - DC"}</c:f>
              <c:strCache>
                <c:ptCount val="1"/>
                <c:pt idx="0">
                  <c:v>IRR - DC</c:v>
                </c:pt>
              </c:strCache>
            </c:strRef>
          </c:tx>
          <c:spPr>
            <a:ln w="38100">
              <a:solidFill>
                <a:srgbClr val="5B9BD5"/>
              </a:solidFill>
              <a:prstDash val="solid"/>
            </a:ln>
          </c:spPr>
          <c:marker>
            <c:symbol val="triangle"/>
            <c:size val="10"/>
            <c:spPr>
              <a:solidFill>
                <a:srgbClr val="5B9BD5"/>
              </a:solidFill>
              <a:ln w="6350">
                <a:noFill/>
              </a:ln>
            </c:spPr>
          </c:marker>
          <c:xVal>
            <c:numRef>
              <c:f>'IRR inputs &amp; outputs'!$B$23:$O$23</c:f>
              <c:numCache>
                <c:formatCode>0.0%</c:formatCode>
                <c:ptCount val="14"/>
                <c:pt idx="0">
                  <c:v>0.05</c:v>
                </c:pt>
                <c:pt idx="1">
                  <c:v>7.4999999999999997E-2</c:v>
                </c:pt>
                <c:pt idx="2">
                  <c:v>0.1</c:v>
                </c:pt>
                <c:pt idx="3">
                  <c:v>0.125</c:v>
                </c:pt>
                <c:pt idx="4">
                  <c:v>0.15</c:v>
                </c:pt>
                <c:pt idx="5">
                  <c:v>0.17499999999999999</c:v>
                </c:pt>
                <c:pt idx="6">
                  <c:v>0.2</c:v>
                </c:pt>
                <c:pt idx="7">
                  <c:v>0.22500000000000001</c:v>
                </c:pt>
                <c:pt idx="8">
                  <c:v>0.25</c:v>
                </c:pt>
                <c:pt idx="9">
                  <c:v>0.3</c:v>
                </c:pt>
                <c:pt idx="10">
                  <c:v>0.35</c:v>
                </c:pt>
                <c:pt idx="11">
                  <c:v>0.4</c:v>
                </c:pt>
                <c:pt idx="12">
                  <c:v>0.45</c:v>
                </c:pt>
                <c:pt idx="13">
                  <c:v>0.5</c:v>
                </c:pt>
              </c:numCache>
            </c:numRef>
          </c:xVal>
          <c:yVal>
            <c:numRef>
              <c:f>'IRR inputs &amp; outputs'!B46:O46</c:f>
              <c:numCache>
                <c:formatCode>0%</c:formatCode>
                <c:ptCount val="14"/>
                <c:pt idx="0">
                  <c:v>#N/A</c:v>
                </c:pt>
                <c:pt idx="1">
                  <c:v>0.30171675434968503</c:v>
                </c:pt>
                <c:pt idx="2">
                  <c:v>6.5985826998013977</c:v>
                </c:pt>
                <c:pt idx="3">
                  <c:v>9.8448277264476989</c:v>
                </c:pt>
                <c:pt idx="4">
                  <c:v>13.085723703345328</c:v>
                </c:pt>
                <c:pt idx="5">
                  <c:v>16.325608619905587</c:v>
                </c:pt>
                <c:pt idx="6">
                  <c:v>19.565213418868922</c:v>
                </c:pt>
                <c:pt idx="7">
                  <c:v>22.804720107797881</c:v>
                </c:pt>
                <c:pt idx="8">
                  <c:v>26.044186463638535</c:v>
                </c:pt>
                <c:pt idx="9">
                  <c:v>32.523072481213831</c:v>
                </c:pt>
                <c:pt idx="10">
                  <c:v>39.001935934817496</c:v>
                </c:pt>
                <c:pt idx="11">
                  <c:v>45.480791819042146</c:v>
                </c:pt>
                <c:pt idx="12">
                  <c:v>51.959644684424816</c:v>
                </c:pt>
                <c:pt idx="13">
                  <c:v>58.438496185727026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D1-4359-90E1-FE866FD071A2}"/>
            </c:ext>
          </c:extLst>
        </c:ser>
        <c:ser>
          <c:idx val="3"/>
          <c:order val="2"/>
          <c:tx>
            <c:strRef>
              <c:f>'IRR inputs &amp; outputs'!$A$27</c:f>
              <c:strCache>
                <c:ptCount val="1"/>
                <c:pt idx="0">
                  <c:v>Commercial
hurdle rate</c:v>
                </c:pt>
              </c:strCache>
            </c:strRef>
          </c:tx>
          <c:spPr>
            <a:ln w="38100">
              <a:solidFill>
                <a:srgbClr val="7030A0"/>
              </a:solidFill>
              <a:prstDash val="solid"/>
            </a:ln>
          </c:spPr>
          <c:marker>
            <c:symbol val="none"/>
          </c:marker>
          <c:xVal>
            <c:numRef>
              <c:f>'IRR inputs &amp; outputs'!$B$23:$O$23</c:f>
              <c:numCache>
                <c:formatCode>0.0%</c:formatCode>
                <c:ptCount val="14"/>
                <c:pt idx="0">
                  <c:v>0.05</c:v>
                </c:pt>
                <c:pt idx="1">
                  <c:v>7.4999999999999997E-2</c:v>
                </c:pt>
                <c:pt idx="2">
                  <c:v>0.1</c:v>
                </c:pt>
                <c:pt idx="3">
                  <c:v>0.125</c:v>
                </c:pt>
                <c:pt idx="4">
                  <c:v>0.15</c:v>
                </c:pt>
                <c:pt idx="5">
                  <c:v>0.17499999999999999</c:v>
                </c:pt>
                <c:pt idx="6">
                  <c:v>0.2</c:v>
                </c:pt>
                <c:pt idx="7">
                  <c:v>0.22500000000000001</c:v>
                </c:pt>
                <c:pt idx="8">
                  <c:v>0.25</c:v>
                </c:pt>
                <c:pt idx="9">
                  <c:v>0.3</c:v>
                </c:pt>
                <c:pt idx="10">
                  <c:v>0.35</c:v>
                </c:pt>
                <c:pt idx="11">
                  <c:v>0.4</c:v>
                </c:pt>
                <c:pt idx="12">
                  <c:v>0.45</c:v>
                </c:pt>
                <c:pt idx="13">
                  <c:v>0.5</c:v>
                </c:pt>
              </c:numCache>
            </c:numRef>
          </c:xVal>
          <c:yVal>
            <c:numRef>
              <c:f>'IRR inputs &amp; outputs'!$B$27:$O$27</c:f>
              <c:numCache>
                <c:formatCode>0%</c:formatCode>
                <c:ptCount val="14"/>
                <c:pt idx="0">
                  <c:v>0.12</c:v>
                </c:pt>
                <c:pt idx="1">
                  <c:v>0.12</c:v>
                </c:pt>
                <c:pt idx="2">
                  <c:v>0.12</c:v>
                </c:pt>
                <c:pt idx="3">
                  <c:v>0.12</c:v>
                </c:pt>
                <c:pt idx="4">
                  <c:v>0.12</c:v>
                </c:pt>
                <c:pt idx="5">
                  <c:v>0.12</c:v>
                </c:pt>
                <c:pt idx="6">
                  <c:v>0.12</c:v>
                </c:pt>
                <c:pt idx="7">
                  <c:v>0.12</c:v>
                </c:pt>
                <c:pt idx="8">
                  <c:v>0.12</c:v>
                </c:pt>
                <c:pt idx="9">
                  <c:v>0.12</c:v>
                </c:pt>
                <c:pt idx="10">
                  <c:v>0.12</c:v>
                </c:pt>
                <c:pt idx="11">
                  <c:v>0.12</c:v>
                </c:pt>
                <c:pt idx="12">
                  <c:v>0.12</c:v>
                </c:pt>
                <c:pt idx="13">
                  <c:v>0.12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D1-4359-90E1-FE866FD071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5088000"/>
        <c:axId val="585089440"/>
      </c:scatterChart>
      <c:valAx>
        <c:axId val="585088000"/>
        <c:scaling>
          <c:orientation val="minMax"/>
          <c:max val="0.3"/>
          <c:min val="0.0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Utilisation (% per charging space)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5089440"/>
        <c:crosses val="autoZero"/>
        <c:crossBetween val="midCat"/>
      </c:valAx>
      <c:valAx>
        <c:axId val="585089440"/>
        <c:scaling>
          <c:orientation val="minMax"/>
          <c:max val="1"/>
          <c:min val="-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Internal Rate of Return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508800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32664595086529"/>
          <c:y val="0.33886327054422066"/>
          <c:w val="0.20090727164851521"/>
          <c:h val="0.33332405272545351"/>
        </c:manualLayout>
      </c:layout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plotArea>
      <cx:plotAreaRegion>
        <cx:series layoutId="waterfall" uniqueId="{00000002-8083-4BC6-82C3-9A8E3DC17BB4}">
          <cx:dataId val="0"/>
          <cx:layoutPr>
            <cx:subtotals/>
          </cx:layoutPr>
        </cx:series>
      </cx:plotAreaRegion>
      <cx:axis id="0">
        <cx:catScaling gapWidth="0.5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sz="1200"/>
          </a:p>
        </cx:txPr>
      </cx:axis>
      <cx:axis id="1">
        <cx:valScaling/>
        <cx:title>
          <cx:tx>
            <cx:txData>
              <cx:v>5-year cashflow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400" b="0" i="0">
                  <a:solidFill>
                    <a:srgbClr val="595959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r>
                <a:rPr sz="1400"/>
                <a:t>5-year cashflow</a:t>
              </a:r>
            </a:p>
          </cx:txPr>
        </cx:title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sz="1200"/>
          </a:p>
        </cx:txPr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</cx:f>
      </cx:strDim>
      <cx:numDim type="val">
        <cx:f>_xlchart.v1.3</cx:f>
      </cx:numDim>
    </cx:data>
  </cx:chartData>
  <cx:chart>
    <cx:plotArea>
      <cx:plotAreaRegion>
        <cx:series layoutId="waterfall" uniqueId="{00000002-8083-4BC6-82C3-9A8E3DC17BB4}">
          <cx:dataId val="0"/>
          <cx:layoutPr>
            <cx:subtotals/>
          </cx:layoutPr>
        </cx:series>
      </cx:plotAreaRegion>
      <cx:axis id="0">
        <cx:catScaling gapWidth="0.5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sz="1200"/>
          </a:p>
        </cx:txPr>
      </cx:axis>
      <cx:axis id="1">
        <cx:valScaling/>
        <cx:title>
          <cx:tx>
            <cx:txData>
              <cx:v>5-year cashflow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400" b="0" i="0">
                  <a:solidFill>
                    <a:srgbClr val="595959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r>
                <a:rPr sz="1400"/>
                <a:t>5-year cashflow</a:t>
              </a:r>
            </a:p>
          </cx:txPr>
        </cx:title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sz="1200"/>
          </a:p>
        </cx:txPr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_xlchart.v1.4</cx:f>
      </cx:strDim>
      <cx:numDim type="val">
        <cx:f>_xlchart.v1.5</cx:f>
      </cx:numDim>
    </cx:data>
  </cx:chartData>
  <cx:chart>
    <cx:plotArea>
      <cx:plotAreaRegion>
        <cx:series layoutId="waterfall" uniqueId="{00000002-8083-4BC6-82C3-9A8E3DC17BB4}">
          <cx:dataId val="0"/>
          <cx:layoutPr>
            <cx:subtotals/>
          </cx:layoutPr>
        </cx:series>
      </cx:plotAreaRegion>
      <cx:axis id="0">
        <cx:catScaling gapWidth="0.5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sz="1200"/>
          </a:p>
        </cx:txPr>
      </cx:axis>
      <cx:axis id="1">
        <cx:valScaling/>
        <cx:title>
          <cx:tx>
            <cx:txData>
              <cx:v>5-year cashflow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400" b="0" i="0">
                  <a:solidFill>
                    <a:srgbClr val="595959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r>
                <a:rPr sz="1400"/>
                <a:t>5-year cashflow</a:t>
              </a:r>
            </a:p>
          </cx:txPr>
        </cx:title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sz="1200"/>
          </a:p>
        </cx:txPr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_xlchart.v1.6</cx:f>
      </cx:strDim>
      <cx:numDim type="val">
        <cx:f>_xlchart.v1.7</cx:f>
      </cx:numDim>
    </cx:data>
  </cx:chartData>
  <cx:chart>
    <cx:plotArea>
      <cx:plotAreaRegion>
        <cx:series layoutId="waterfall" uniqueId="{00000002-8083-4BC6-82C3-9A8E3DC17BB4}">
          <cx:dataId val="0"/>
          <cx:layoutPr>
            <cx:subtotals/>
          </cx:layoutPr>
        </cx:series>
      </cx:plotAreaRegion>
      <cx:axis id="0">
        <cx:catScaling gapWidth="0.5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sz="1200"/>
          </a:p>
        </cx:txPr>
      </cx:axis>
      <cx:axis id="1">
        <cx:valScaling/>
        <cx:title>
          <cx:tx>
            <cx:txData>
              <cx:v>5-year cashflow</cx:v>
            </cx:txData>
          </cx:tx>
          <cx:txPr>
            <a:bodyPr vertOverflow="overflow" horzOverflow="overflow" wrap="square" lIns="0" tIns="0" rIns="0" bIns="0"/>
            <a:lstStyle/>
            <a:p>
              <a:pPr algn="ctr" rtl="0">
                <a:defRPr sz="1400" b="0" i="0">
                  <a:solidFill>
                    <a:srgbClr val="595959"/>
                  </a:solidFill>
                  <a:latin typeface="Calibri" panose="020F0502020204030204" pitchFamily="34" charset="0"/>
                  <a:ea typeface="Calibri" panose="020F0502020204030204" pitchFamily="34" charset="0"/>
                  <a:cs typeface="Calibri" panose="020F0502020204030204" pitchFamily="34" charset="0"/>
                </a:defRPr>
              </a:pPr>
              <a:r>
                <a:rPr sz="1400"/>
                <a:t>5-year cashflow</a:t>
              </a:r>
            </a:p>
          </cx:txPr>
        </cx:title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sz="1200"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14/relationships/chartEx" Target="../charts/chartEx4.xml"/><Relationship Id="rId1" Type="http://schemas.microsoft.com/office/2014/relationships/chartEx" Target="../charts/chartEx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152400</xdr:colOff>
      <xdr:row>0</xdr:row>
      <xdr:rowOff>152400</xdr:rowOff>
    </xdr:from>
    <xdr:to>
      <xdr:col>14</xdr:col>
      <xdr:colOff>504825</xdr:colOff>
      <xdr:row>17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16A4C8-39CD-4BF2-80A2-0BD2A0F25775}"/>
            </a:ext>
            <a:ext uri="{147F2762-F138-4A5C-976F-8EAC2B608ADB}">
              <a16:predDERef xmlns:a16="http://schemas.microsoft.com/office/drawing/2014/main" pred="{937F27EF-16A9-65C5-275C-825FD90033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85725</xdr:colOff>
      <xdr:row>0</xdr:row>
      <xdr:rowOff>238125</xdr:rowOff>
    </xdr:from>
    <xdr:to>
      <xdr:col>23</xdr:col>
      <xdr:colOff>514350</xdr:colOff>
      <xdr:row>17</xdr:row>
      <xdr:rowOff>38100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B8357E0-7883-476F-9B4D-E7F138DFBDB6}"/>
            </a:ext>
            <a:ext uri="{147F2762-F138-4A5C-976F-8EAC2B608ADB}">
              <a16:predDERef xmlns:a16="http://schemas.microsoft.com/office/drawing/2014/main" pred="{1FC1D3DB-A89B-4F3C-BEA0-06892651F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76200</xdr:colOff>
      <xdr:row>48</xdr:row>
      <xdr:rowOff>9525</xdr:rowOff>
    </xdr:from>
    <xdr:to>
      <xdr:col>3</xdr:col>
      <xdr:colOff>523875</xdr:colOff>
      <xdr:row>66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653351B-24B2-4BD7-B7BB-58A3736F3AD4}"/>
            </a:ext>
            <a:ext uri="{147F2762-F138-4A5C-976F-8EAC2B608ADB}">
              <a16:predDERef xmlns:a16="http://schemas.microsoft.com/office/drawing/2014/main" pred="{FB8357E0-7883-476F-9B4D-E7F138DFBD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762000</xdr:colOff>
      <xdr:row>48</xdr:row>
      <xdr:rowOff>9525</xdr:rowOff>
    </xdr:from>
    <xdr:to>
      <xdr:col>10</xdr:col>
      <xdr:colOff>447675</xdr:colOff>
      <xdr:row>66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39A3BF9-C0F5-41D3-A373-916B9C36F27E}"/>
            </a:ext>
            <a:ext uri="{147F2762-F138-4A5C-976F-8EAC2B608ADB}">
              <a16:predDERef xmlns:a16="http://schemas.microsoft.com/office/drawing/2014/main" pred="{F653351B-24B2-4BD7-B7BB-58A3736F3A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209550</xdr:colOff>
      <xdr:row>48</xdr:row>
      <xdr:rowOff>28575</xdr:rowOff>
    </xdr:from>
    <xdr:to>
      <xdr:col>20</xdr:col>
      <xdr:colOff>161925</xdr:colOff>
      <xdr:row>66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2CFE16E-F3E7-47C2-A0E4-F641FD5C7D97}"/>
            </a:ext>
            <a:ext uri="{147F2762-F138-4A5C-976F-8EAC2B608ADB}">
              <a16:predDERef xmlns:a16="http://schemas.microsoft.com/office/drawing/2014/main" pred="{439A3BF9-C0F5-41D3-A373-916B9C36F2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533400</xdr:colOff>
      <xdr:row>2</xdr:row>
      <xdr:rowOff>0</xdr:rowOff>
    </xdr:from>
    <xdr:to>
      <xdr:col>15</xdr:col>
      <xdr:colOff>28575</xdr:colOff>
      <xdr:row>20</xdr:row>
      <xdr:rowOff>9525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ABB080D1-D280-4DE1-AEF1-8F2561FAD42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0" cy="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</xdr:col>
      <xdr:colOff>0</xdr:colOff>
      <xdr:row>21</xdr:row>
      <xdr:rowOff>180975</xdr:rowOff>
    </xdr:from>
    <xdr:to>
      <xdr:col>15</xdr:col>
      <xdr:colOff>104775</xdr:colOff>
      <xdr:row>43</xdr:row>
      <xdr:rowOff>114300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B9BD70D8-B223-4F36-8FEB-653FE99F1685}"/>
                </a:ext>
                <a:ext uri="{147F2762-F138-4A5C-976F-8EAC2B608ADB}">
                  <a16:predDERef xmlns:a16="http://schemas.microsoft.com/office/drawing/2014/main" pred="{ABB080D1-D280-4DE1-AEF1-8F2561FAD42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0" cy="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533400</xdr:colOff>
      <xdr:row>2</xdr:row>
      <xdr:rowOff>0</xdr:rowOff>
    </xdr:from>
    <xdr:to>
      <xdr:col>15</xdr:col>
      <xdr:colOff>28575</xdr:colOff>
      <xdr:row>20</xdr:row>
      <xdr:rowOff>9525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002052D0-FF6B-4A75-AA4C-6A1087D6D0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0" cy="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</xdr:col>
      <xdr:colOff>0</xdr:colOff>
      <xdr:row>21</xdr:row>
      <xdr:rowOff>180975</xdr:rowOff>
    </xdr:from>
    <xdr:to>
      <xdr:col>15</xdr:col>
      <xdr:colOff>104775</xdr:colOff>
      <xdr:row>43</xdr:row>
      <xdr:rowOff>114300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9EF9525E-A5B2-420C-A6FE-CBE57632A55C}"/>
                </a:ext>
                <a:ext uri="{147F2762-F138-4A5C-976F-8EAC2B608ADB}">
                  <a16:predDERef xmlns:a16="http://schemas.microsoft.com/office/drawing/2014/main" pred="{002052D0-FF6B-4A75-AA4C-6A1087D6D0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0" cy="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V_charger_financial_model%20-%20AC%20-%20publ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% utilisation"/>
      <sheetName val="7"/>
      <sheetName val="10% utilisation"/>
      <sheetName val="12"/>
      <sheetName val="15% utilisation"/>
      <sheetName val="17"/>
      <sheetName val="20% utilisation"/>
      <sheetName val="22"/>
      <sheetName val="25% utilisation"/>
      <sheetName val="30% utilisation"/>
      <sheetName val="35% utilisation"/>
      <sheetName val="40% utilisation"/>
      <sheetName val="45% utilisation"/>
      <sheetName val="50% utilis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6"/>
  <sheetViews>
    <sheetView tabSelected="1" topLeftCell="A38" zoomScale="81" workbookViewId="0">
      <selection activeCell="B45" sqref="B45:O45"/>
    </sheetView>
  </sheetViews>
  <sheetFormatPr defaultRowHeight="15" customHeight="1"/>
  <cols>
    <col min="1" max="1" width="43" customWidth="1"/>
    <col min="2" max="2" width="12.140625" bestFit="1" customWidth="1"/>
    <col min="3" max="3" width="12.7109375" customWidth="1"/>
    <col min="4" max="4" width="15" customWidth="1"/>
    <col min="5" max="5" width="13.5703125" customWidth="1"/>
    <col min="6" max="6" width="11.5703125" customWidth="1"/>
    <col min="7" max="7" width="12.28515625" customWidth="1"/>
    <col min="8" max="8" width="10.28515625" customWidth="1"/>
    <col min="9" max="10" width="8.28515625" bestFit="1" customWidth="1"/>
    <col min="11" max="11" width="8.140625" customWidth="1"/>
    <col min="12" max="12" width="8.140625" bestFit="1" customWidth="1"/>
    <col min="13" max="13" width="8.140625" customWidth="1"/>
    <col min="14" max="14" width="9.140625" bestFit="1" customWidth="1"/>
    <col min="15" max="15" width="8.140625" customWidth="1"/>
    <col min="16" max="16" width="9.140625" bestFit="1" customWidth="1"/>
    <col min="17" max="21" width="8.140625" bestFit="1" customWidth="1"/>
  </cols>
  <sheetData>
    <row r="1" spans="1:7" ht="30.4">
      <c r="A1" s="62" t="s">
        <v>0</v>
      </c>
      <c r="B1" s="63"/>
      <c r="C1" s="64"/>
      <c r="D1" s="65" t="s">
        <v>1</v>
      </c>
      <c r="E1" s="38" t="s">
        <v>2</v>
      </c>
      <c r="F1" s="38" t="s">
        <v>3</v>
      </c>
      <c r="G1" s="39" t="s">
        <v>4</v>
      </c>
    </row>
    <row r="2" spans="1:7" ht="14.25">
      <c r="A2" s="7" t="s">
        <v>5</v>
      </c>
      <c r="B2" s="21">
        <v>40</v>
      </c>
      <c r="C2" s="64"/>
      <c r="D2" s="66"/>
      <c r="E2">
        <v>22</v>
      </c>
      <c r="F2">
        <v>22</v>
      </c>
      <c r="G2" s="21">
        <v>40</v>
      </c>
    </row>
    <row r="3" spans="1:7" ht="14.25">
      <c r="A3" s="7" t="s">
        <v>6</v>
      </c>
      <c r="B3" s="21">
        <v>2</v>
      </c>
      <c r="C3" s="64"/>
      <c r="D3" s="66"/>
      <c r="E3">
        <v>1</v>
      </c>
      <c r="F3">
        <v>2</v>
      </c>
      <c r="G3" s="21">
        <v>2</v>
      </c>
    </row>
    <row r="4" spans="1:7" ht="14.25">
      <c r="A4" s="7" t="s">
        <v>7</v>
      </c>
      <c r="B4" s="25">
        <v>50000</v>
      </c>
      <c r="C4" s="64"/>
      <c r="D4" s="66"/>
      <c r="E4" s="40">
        <v>5000</v>
      </c>
      <c r="F4" s="40">
        <v>30000</v>
      </c>
      <c r="G4" s="25">
        <v>50000</v>
      </c>
    </row>
    <row r="5" spans="1:7" ht="14.25">
      <c r="A5" s="7" t="s">
        <v>8</v>
      </c>
      <c r="B5" s="27">
        <v>0</v>
      </c>
      <c r="C5" s="64"/>
      <c r="D5" s="66"/>
      <c r="E5" s="40"/>
      <c r="F5" s="40"/>
      <c r="G5" s="27">
        <v>0</v>
      </c>
    </row>
    <row r="6" spans="1:7" ht="14.25">
      <c r="A6" s="7" t="s">
        <v>9</v>
      </c>
      <c r="B6" s="22">
        <f>B4*(1-B5)</f>
        <v>50000</v>
      </c>
      <c r="C6" s="64"/>
      <c r="D6" s="66"/>
      <c r="E6" s="47">
        <f>E4*(1-E5)</f>
        <v>5000</v>
      </c>
      <c r="F6" s="47">
        <f>F4*(1-F5)</f>
        <v>30000</v>
      </c>
      <c r="G6" s="22">
        <f>G4*(1-G5)</f>
        <v>50000</v>
      </c>
    </row>
    <row r="7" spans="1:7" ht="14.25">
      <c r="A7" s="7" t="s">
        <v>10</v>
      </c>
      <c r="B7" s="29">
        <v>0.62</v>
      </c>
      <c r="C7" s="64"/>
      <c r="D7" s="66"/>
      <c r="E7" s="34">
        <v>0.51</v>
      </c>
      <c r="F7" s="34">
        <v>0.51</v>
      </c>
      <c r="G7" s="29">
        <v>0.62</v>
      </c>
    </row>
    <row r="8" spans="1:7" ht="14.25">
      <c r="A8" s="7" t="s">
        <v>11</v>
      </c>
      <c r="B8" s="27">
        <v>0.95</v>
      </c>
      <c r="C8" s="64"/>
      <c r="D8" s="66"/>
      <c r="E8" s="5">
        <v>0.95</v>
      </c>
      <c r="F8" s="5">
        <v>0.95</v>
      </c>
      <c r="G8" s="27">
        <v>0.95</v>
      </c>
    </row>
    <row r="9" spans="1:7" ht="14.25">
      <c r="A9" s="7" t="s">
        <v>12</v>
      </c>
      <c r="B9" s="30">
        <v>0.2</v>
      </c>
      <c r="C9" s="64"/>
      <c r="D9" s="66"/>
      <c r="E9" s="35">
        <v>0.2</v>
      </c>
      <c r="F9" s="35">
        <v>0.2</v>
      </c>
      <c r="G9" s="30">
        <v>0.2</v>
      </c>
    </row>
    <row r="10" spans="1:7" ht="14.25">
      <c r="A10" s="7" t="s">
        <v>13</v>
      </c>
      <c r="B10" s="31">
        <v>0</v>
      </c>
      <c r="C10" s="64"/>
      <c r="D10" s="66"/>
      <c r="E10" s="36"/>
      <c r="F10" s="36"/>
      <c r="G10" s="31">
        <v>0</v>
      </c>
    </row>
    <row r="11" spans="1:7" ht="14.25">
      <c r="A11" s="7" t="s">
        <v>14</v>
      </c>
      <c r="B11" s="24">
        <v>7.4999999999999997E-2</v>
      </c>
      <c r="C11" s="64"/>
      <c r="D11" s="66"/>
      <c r="E11" s="48">
        <v>7.4999999999999997E-2</v>
      </c>
      <c r="F11" s="48">
        <v>7.4999999999999997E-2</v>
      </c>
      <c r="G11" s="24">
        <v>7.4999999999999997E-2</v>
      </c>
    </row>
    <row r="12" spans="1:7" ht="14.25">
      <c r="A12" s="7" t="s">
        <v>15</v>
      </c>
      <c r="B12" s="22">
        <v>600</v>
      </c>
      <c r="C12" s="64"/>
      <c r="D12" s="66"/>
      <c r="E12" s="16">
        <v>300</v>
      </c>
      <c r="F12" s="16">
        <v>600</v>
      </c>
      <c r="G12" s="22">
        <v>600</v>
      </c>
    </row>
    <row r="13" spans="1:7" ht="14.25">
      <c r="A13" s="7" t="s">
        <v>16</v>
      </c>
      <c r="B13" s="23">
        <v>0.55000000000000004</v>
      </c>
      <c r="C13" s="64"/>
      <c r="D13" s="66"/>
      <c r="E13" s="37">
        <v>0.45</v>
      </c>
      <c r="F13" s="37">
        <v>0.45</v>
      </c>
      <c r="G13" s="23">
        <v>0.55000000000000004</v>
      </c>
    </row>
    <row r="14" spans="1:7" ht="14.25">
      <c r="A14" s="10" t="s">
        <v>17</v>
      </c>
      <c r="B14" s="25">
        <v>750</v>
      </c>
      <c r="C14" s="64"/>
      <c r="D14" s="66"/>
      <c r="E14" s="41">
        <v>500</v>
      </c>
      <c r="F14" s="41">
        <v>500</v>
      </c>
      <c r="G14" s="25">
        <v>750</v>
      </c>
    </row>
    <row r="15" spans="1:7" ht="14.25">
      <c r="A15" s="10" t="s">
        <v>18</v>
      </c>
      <c r="B15" s="25">
        <v>35000</v>
      </c>
      <c r="C15" s="64"/>
      <c r="D15" s="66"/>
      <c r="E15" s="41">
        <v>3000</v>
      </c>
      <c r="F15" s="41">
        <v>3000</v>
      </c>
      <c r="G15" s="25">
        <v>35000</v>
      </c>
    </row>
    <row r="16" spans="1:7" ht="14.25">
      <c r="A16" s="7" t="s">
        <v>19</v>
      </c>
      <c r="B16" s="25">
        <v>1000</v>
      </c>
      <c r="C16" s="64"/>
      <c r="D16" s="66"/>
      <c r="E16" s="40">
        <v>500</v>
      </c>
      <c r="F16" s="40">
        <v>500</v>
      </c>
      <c r="G16" s="25">
        <v>1000</v>
      </c>
    </row>
    <row r="17" spans="1:15" ht="14.25">
      <c r="A17" s="7" t="s">
        <v>20</v>
      </c>
      <c r="B17" s="25">
        <v>5000</v>
      </c>
      <c r="C17" s="64"/>
      <c r="D17" s="67"/>
      <c r="E17" s="42">
        <v>750</v>
      </c>
      <c r="F17" s="42">
        <v>800</v>
      </c>
      <c r="G17" s="25">
        <v>5000</v>
      </c>
    </row>
    <row r="18" spans="1:15" ht="14.25">
      <c r="A18" s="7" t="s">
        <v>21</v>
      </c>
      <c r="B18" s="24">
        <v>5.8500000000000003E-2</v>
      </c>
    </row>
    <row r="19" spans="1:15" ht="14.25">
      <c r="A19" s="11" t="s">
        <v>22</v>
      </c>
      <c r="B19" s="26">
        <v>0.12</v>
      </c>
    </row>
    <row r="20" spans="1:15" ht="14.25"/>
    <row r="21" spans="1:15" ht="14.25">
      <c r="B21" s="4"/>
    </row>
    <row r="22" spans="1:15" ht="14.25">
      <c r="A22" s="6" t="s">
        <v>23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4"/>
    </row>
    <row r="23" spans="1:15" ht="14.25">
      <c r="A23" s="7" t="s">
        <v>24</v>
      </c>
      <c r="B23" s="49">
        <v>0.05</v>
      </c>
      <c r="C23" s="49">
        <v>7.4999999999999997E-2</v>
      </c>
      <c r="D23" s="49">
        <v>0.1</v>
      </c>
      <c r="E23" s="49">
        <v>0.125</v>
      </c>
      <c r="F23" s="49">
        <v>0.15</v>
      </c>
      <c r="G23" s="49">
        <v>0.17499999999999999</v>
      </c>
      <c r="H23" s="49">
        <v>0.2</v>
      </c>
      <c r="I23" s="49">
        <v>0.22500000000000001</v>
      </c>
      <c r="J23" s="49">
        <v>0.25</v>
      </c>
      <c r="K23" s="49">
        <v>0.3</v>
      </c>
      <c r="L23" s="49">
        <v>0.35</v>
      </c>
      <c r="M23" s="49">
        <v>0.4</v>
      </c>
      <c r="N23" s="49">
        <v>0.45</v>
      </c>
      <c r="O23" s="50">
        <v>0.5</v>
      </c>
    </row>
    <row r="24" spans="1:15" ht="14.25">
      <c r="A24" s="7" t="s">
        <v>25</v>
      </c>
      <c r="B24" s="32" t="e">
        <f>'5% utilisation'!B23</f>
        <v>#N/A</v>
      </c>
      <c r="C24" s="32">
        <f>'7.5% utilisation'!B23</f>
        <v>-0.22458895903526999</v>
      </c>
      <c r="D24" s="32">
        <f>'10% utilisation'!B23</f>
        <v>-7.169660019572166E-2</v>
      </c>
      <c r="E24" s="32">
        <f>'12.5% utilisation'!B23</f>
        <v>4.039229749744444E-2</v>
      </c>
      <c r="F24" s="32">
        <f>'15% utilisation'!B23</f>
        <v>0.13516733021470517</v>
      </c>
      <c r="G24" s="32">
        <f>'17.5% utilisation'!B23</f>
        <v>0.22064614659738813</v>
      </c>
      <c r="H24" s="32">
        <f>'20% utilisation'!B23</f>
        <v>0.30047107009996865</v>
      </c>
      <c r="I24" s="32">
        <f>'22.5% utilisation'!B23</f>
        <v>0.37657059887914834</v>
      </c>
      <c r="J24" s="32">
        <f>'25% utilisation'!B23</f>
        <v>0.45007183236574888</v>
      </c>
      <c r="K24" s="32">
        <f>'30% utilisation'!B23</f>
        <v>0.59186846101973511</v>
      </c>
      <c r="L24" s="32">
        <f>'35% utilisation'!B23</f>
        <v>0.72917484602536731</v>
      </c>
      <c r="M24" s="32">
        <f>'40% utilisation'!B23</f>
        <v>0.86365184039542142</v>
      </c>
      <c r="N24" s="32">
        <f>'45% utilisation'!B23</f>
        <v>0.99623521710799134</v>
      </c>
      <c r="O24" s="33">
        <f>'50% utilisation'!B23</f>
        <v>1.1274968814396522</v>
      </c>
    </row>
    <row r="25" spans="1:15" ht="14.25">
      <c r="A25" s="15" t="s">
        <v>26</v>
      </c>
      <c r="B25" s="16">
        <f>'5% utilisation'!C21</f>
        <v>128.84989473684436</v>
      </c>
      <c r="C25" s="16">
        <f>'7.5% utilisation'!C21</f>
        <v>3368.2748421052656</v>
      </c>
      <c r="D25" s="16">
        <f>'10% utilisation'!C21</f>
        <v>6607.6997894736887</v>
      </c>
      <c r="E25" s="16">
        <f>'12.5% utilisation'!C21</f>
        <v>9847.12473684211</v>
      </c>
      <c r="F25" s="16">
        <f>'15% utilisation'!C21</f>
        <v>13086.549684210531</v>
      </c>
      <c r="G25" s="16">
        <f>'17.5% utilisation'!C21</f>
        <v>16325.974631578949</v>
      </c>
      <c r="H25" s="16">
        <f>'20% utilisation'!C21</f>
        <v>19565.399578947374</v>
      </c>
      <c r="I25" s="16">
        <f>'22.5% utilisation'!C21</f>
        <v>22804.824526315791</v>
      </c>
      <c r="J25" s="16">
        <f>'25% utilisation'!C21</f>
        <v>26044.249473684213</v>
      </c>
      <c r="K25" s="16">
        <f>'30% utilisation'!C21</f>
        <v>32523.099368421063</v>
      </c>
      <c r="L25" s="16">
        <f>'35% utilisation'!C21</f>
        <v>39001.949263157898</v>
      </c>
      <c r="M25" s="16">
        <f>'40% utilisation'!C21</f>
        <v>45480.799157894748</v>
      </c>
      <c r="N25" s="16">
        <f>'45% utilisation'!C21</f>
        <v>51959.649052631583</v>
      </c>
      <c r="O25" s="9">
        <f>'50% utilisation'!C21</f>
        <v>58438.498947368425</v>
      </c>
    </row>
    <row r="26" spans="1:15" ht="14.25">
      <c r="A26" s="7" t="s">
        <v>27</v>
      </c>
      <c r="B26" s="17">
        <f t="shared" ref="B26:O26" si="0">$B$18</f>
        <v>5.8500000000000003E-2</v>
      </c>
      <c r="C26" s="17">
        <f t="shared" si="0"/>
        <v>5.8500000000000003E-2</v>
      </c>
      <c r="D26" s="17">
        <f t="shared" si="0"/>
        <v>5.8500000000000003E-2</v>
      </c>
      <c r="E26" s="17">
        <f t="shared" si="0"/>
        <v>5.8500000000000003E-2</v>
      </c>
      <c r="F26" s="17">
        <f t="shared" si="0"/>
        <v>5.8500000000000003E-2</v>
      </c>
      <c r="G26" s="17">
        <f t="shared" si="0"/>
        <v>5.8500000000000003E-2</v>
      </c>
      <c r="H26" s="17">
        <f t="shared" si="0"/>
        <v>5.8500000000000003E-2</v>
      </c>
      <c r="I26" s="17">
        <f t="shared" si="0"/>
        <v>5.8500000000000003E-2</v>
      </c>
      <c r="J26" s="17">
        <f t="shared" si="0"/>
        <v>5.8500000000000003E-2</v>
      </c>
      <c r="K26" s="17">
        <f t="shared" si="0"/>
        <v>5.8500000000000003E-2</v>
      </c>
      <c r="L26" s="17">
        <f t="shared" si="0"/>
        <v>5.8500000000000003E-2</v>
      </c>
      <c r="M26" s="17">
        <f t="shared" si="0"/>
        <v>5.8500000000000003E-2</v>
      </c>
      <c r="N26" s="17">
        <f t="shared" si="0"/>
        <v>5.8500000000000003E-2</v>
      </c>
      <c r="O26" s="18">
        <f t="shared" si="0"/>
        <v>5.8500000000000003E-2</v>
      </c>
    </row>
    <row r="27" spans="1:15" ht="28.5">
      <c r="A27" s="43" t="s">
        <v>28</v>
      </c>
      <c r="B27" s="4">
        <f t="shared" ref="B27:O27" si="1">$B$19</f>
        <v>0.12</v>
      </c>
      <c r="C27" s="4">
        <f t="shared" si="1"/>
        <v>0.12</v>
      </c>
      <c r="D27" s="4">
        <f t="shared" si="1"/>
        <v>0.12</v>
      </c>
      <c r="E27" s="4">
        <f t="shared" si="1"/>
        <v>0.12</v>
      </c>
      <c r="F27" s="4">
        <f t="shared" si="1"/>
        <v>0.12</v>
      </c>
      <c r="G27" s="4">
        <f t="shared" si="1"/>
        <v>0.12</v>
      </c>
      <c r="H27" s="4">
        <f t="shared" si="1"/>
        <v>0.12</v>
      </c>
      <c r="I27" s="4">
        <f t="shared" si="1"/>
        <v>0.12</v>
      </c>
      <c r="J27" s="4">
        <f t="shared" si="1"/>
        <v>0.12</v>
      </c>
      <c r="K27" s="4">
        <f t="shared" si="1"/>
        <v>0.12</v>
      </c>
      <c r="L27" s="4">
        <f t="shared" si="1"/>
        <v>0.12</v>
      </c>
      <c r="M27" s="4">
        <f t="shared" si="1"/>
        <v>0.12</v>
      </c>
      <c r="N27" s="4">
        <f t="shared" si="1"/>
        <v>0.12</v>
      </c>
      <c r="O27" s="19">
        <f t="shared" si="1"/>
        <v>0.12</v>
      </c>
    </row>
    <row r="28" spans="1:15" ht="14.25">
      <c r="A28" s="7"/>
      <c r="O28" s="8"/>
    </row>
    <row r="29" spans="1:15" ht="14.25">
      <c r="A29" s="7" t="s">
        <v>29</v>
      </c>
      <c r="B29" s="4" t="e">
        <f>'5% utilisation'!$B$125</f>
        <v>#N/A</v>
      </c>
      <c r="C29" s="4">
        <f>'7.5% utilisation'!$B$125</f>
        <v>0.8</v>
      </c>
      <c r="D29" s="4">
        <f>'10% utilisation'!$B$125</f>
        <v>0.5</v>
      </c>
      <c r="E29" s="4" t="e">
        <f>'12.5% utilisation'!$B$125</f>
        <v>#N/A</v>
      </c>
      <c r="F29" s="4" t="e">
        <f>'15% utilisation'!$B$125</f>
        <v>#N/A</v>
      </c>
      <c r="G29" s="4" t="e">
        <f>'17.5% utilisation'!$B$125</f>
        <v>#N/A</v>
      </c>
      <c r="H29" s="4" t="e">
        <f>'20% utilisation'!$B$125</f>
        <v>#N/A</v>
      </c>
      <c r="I29" s="4" t="e">
        <f>'22.5% utilisation'!$B$125</f>
        <v>#N/A</v>
      </c>
      <c r="J29" s="4" t="e">
        <f>'25% utilisation'!$B$125</f>
        <v>#N/A</v>
      </c>
      <c r="K29" s="4" t="e">
        <f>'30% utilisation'!$B$125</f>
        <v>#N/A</v>
      </c>
      <c r="L29" s="4" t="e">
        <f>'35% utilisation'!$B$125</f>
        <v>#N/A</v>
      </c>
      <c r="M29" s="4" t="e">
        <f>'40% utilisation'!$B$125</f>
        <v>#N/A</v>
      </c>
      <c r="N29" s="4" t="e">
        <f>'45% utilisation'!$B$125</f>
        <v>#N/A</v>
      </c>
      <c r="O29" s="19" t="e">
        <f>'50% utilisation'!$B$125</f>
        <v>#N/A</v>
      </c>
    </row>
    <row r="30" spans="1:15" ht="14.25">
      <c r="A30" s="11" t="s">
        <v>30</v>
      </c>
      <c r="B30" s="20" t="e">
        <f>'5% utilisation'!$B$126</f>
        <v>#N/A</v>
      </c>
      <c r="C30" s="20">
        <f>'7.5% utilisation'!$B$126</f>
        <v>0.8</v>
      </c>
      <c r="D30" s="20">
        <f>'10% utilisation'!$B$126</f>
        <v>0.65</v>
      </c>
      <c r="E30" s="20">
        <f>'12.5% utilisation'!$B$126</f>
        <v>0.25</v>
      </c>
      <c r="F30" s="20" t="e">
        <f>'15% utilisation'!$B$126</f>
        <v>#N/A</v>
      </c>
      <c r="G30" s="20" t="e">
        <f>'17.5% utilisation'!$B$126</f>
        <v>#N/A</v>
      </c>
      <c r="H30" s="20" t="e">
        <f>'20% utilisation'!$B$126</f>
        <v>#N/A</v>
      </c>
      <c r="I30" s="20" t="e">
        <f>'22.5% utilisation'!$B$126</f>
        <v>#N/A</v>
      </c>
      <c r="J30" s="20" t="e">
        <f>'25% utilisation'!$B$126</f>
        <v>#N/A</v>
      </c>
      <c r="K30" s="20" t="e">
        <f>'30% utilisation'!$B$126</f>
        <v>#N/A</v>
      </c>
      <c r="L30" s="20" t="e">
        <f>'35% utilisation'!$B$126</f>
        <v>#N/A</v>
      </c>
      <c r="M30" s="20" t="e">
        <f>'40% utilisation'!$B$126</f>
        <v>#N/A</v>
      </c>
      <c r="N30" s="20" t="e">
        <f>'45% utilisation'!$B$126</f>
        <v>#N/A</v>
      </c>
      <c r="O30" s="12" t="e">
        <f>'50% utilisation'!$B$126</f>
        <v>#N/A</v>
      </c>
    </row>
    <row r="31" spans="1:15" ht="14.25">
      <c r="A31" t="s">
        <v>31</v>
      </c>
      <c r="B31" s="41">
        <f>SUM('5% utilisation'!$C$18:$G$18)+SUM('5% utilisation'!$C$16:$G$16)</f>
        <v>27348.950526315784</v>
      </c>
      <c r="C31" s="41">
        <f>SUM('7.5% utilisation'!$C$18:$G$18)+SUM('7.5% utilisation'!$C$16:$G$16)</f>
        <v>41023.42578947368</v>
      </c>
      <c r="D31" s="41">
        <f>SUM('10% utilisation'!$C$18:$G$18)+SUM('10% utilisation'!$C$16:$G$16)</f>
        <v>54697.901052631569</v>
      </c>
      <c r="E31" s="41">
        <f>SUM('12.5% utilisation'!$C$18:$G$18)+SUM('12.5% utilisation'!$C$16:$G$16)</f>
        <v>68372.376315789472</v>
      </c>
      <c r="F31" s="41">
        <f>SUM('15% utilisation'!$C$18:$G$18)+SUM('15% utilisation'!$C$16:$G$16)</f>
        <v>82046.85157894736</v>
      </c>
      <c r="G31" s="41">
        <f>SUM('17.5% utilisation'!$C$18:$G$18)+SUM('17.5% utilisation'!$C$16:$G$16)</f>
        <v>95721.326842105263</v>
      </c>
      <c r="H31" s="41">
        <f>SUM('20% utilisation'!$C$18:$G$18)+SUM('20% utilisation'!$C$16:$G$16)</f>
        <v>109395.80210526314</v>
      </c>
    </row>
    <row r="32" spans="1:15" ht="14.25">
      <c r="A32" t="s">
        <v>32</v>
      </c>
      <c r="B32" s="41">
        <f>SUM('5% utilisation'!$C$14:$G$15)+SUM('5% utilisation'!$C$17:$G$17)</f>
        <v>31750</v>
      </c>
      <c r="C32" s="41">
        <f>SUM('7.5% utilisation'!$C$14:$G$15)+SUM('7.5% utilisation'!$C$17:$G$17)</f>
        <v>31750</v>
      </c>
      <c r="D32" s="41">
        <f>SUM('10% utilisation'!$C$14:$G$15)+SUM('10% utilisation'!$C$17:$G$17)</f>
        <v>31750</v>
      </c>
      <c r="E32" s="41">
        <f>SUM('12.5% utilisation'!$C$14:$G$15)+SUM('12.5% utilisation'!$C$17:$G$17)</f>
        <v>31750</v>
      </c>
      <c r="F32" s="41">
        <f>SUM('15% utilisation'!$C$14:$G$15)+SUM('15% utilisation'!$C$17:$G$17)</f>
        <v>31750</v>
      </c>
      <c r="G32" s="41">
        <f>SUM('17.5% utilisation'!$C$14:$G$15)+SUM('17.5% utilisation'!$C$17:$G$17)</f>
        <v>31750</v>
      </c>
      <c r="H32" s="41">
        <f>SUM('20% utilisation'!$C$14:$G$15)+SUM('20% utilisation'!$C$17:$G$17)</f>
        <v>31750</v>
      </c>
    </row>
    <row r="33" spans="1:15" ht="14.25">
      <c r="A33" t="s">
        <v>33</v>
      </c>
      <c r="B33" s="41">
        <f>SUM('5% utilisation'!$C$9:$G$9)</f>
        <v>59743.200000000004</v>
      </c>
      <c r="C33" s="41">
        <f>SUM('7.5% utilisation'!$C$9:$G$9)</f>
        <v>89614.800000000017</v>
      </c>
      <c r="D33" s="41">
        <f>SUM('10% utilisation'!$C$9:$G$9)</f>
        <v>119486.40000000001</v>
      </c>
      <c r="E33" s="41">
        <f>SUM('12.5% utilisation'!$C$9:$G$9)</f>
        <v>149358</v>
      </c>
      <c r="F33" s="41">
        <f>SUM('15% utilisation'!$C$9:$G$9)</f>
        <v>179229.60000000003</v>
      </c>
      <c r="G33" s="41">
        <f>SUM('17.5% utilisation'!$C$9:$G$9)</f>
        <v>209101.2</v>
      </c>
      <c r="H33" s="41">
        <f>SUM('20% utilisation'!$C$9:$G$9)</f>
        <v>238972.80000000002</v>
      </c>
    </row>
    <row r="34" spans="1:15" ht="14.25"/>
    <row r="35" spans="1:15">
      <c r="A35" s="51" t="s">
        <v>34</v>
      </c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3"/>
    </row>
    <row r="36" spans="1:15">
      <c r="A36" s="54" t="s">
        <v>35</v>
      </c>
      <c r="B36" t="e">
        <v>#N/A</v>
      </c>
      <c r="C36" s="4" t="e">
        <v>#N/A</v>
      </c>
      <c r="D36" s="4">
        <v>-0.1402536508409058</v>
      </c>
      <c r="E36" s="4">
        <v>3.8653941636569877E-2</v>
      </c>
      <c r="F36" s="4">
        <v>0.1721080152362886</v>
      </c>
      <c r="G36" s="4">
        <v>0.28859849147879357</v>
      </c>
      <c r="H36" s="4">
        <v>0.3966920781238743</v>
      </c>
      <c r="I36" s="4">
        <v>0.49999065389539377</v>
      </c>
      <c r="J36" s="4">
        <v>0.60028947658977572</v>
      </c>
      <c r="K36" s="4">
        <v>0.79547960959814712</v>
      </c>
      <c r="L36" s="4">
        <v>0.98646359812654372</v>
      </c>
      <c r="M36" s="4">
        <v>1.1750597498561999</v>
      </c>
      <c r="N36" s="4">
        <v>1.3621897744417741</v>
      </c>
      <c r="O36" s="55">
        <v>1.5483711970213205</v>
      </c>
    </row>
    <row r="37" spans="1:15" ht="14.25">
      <c r="A37" s="54" t="s">
        <v>36</v>
      </c>
      <c r="B37" s="32" t="e">
        <v>#N/A</v>
      </c>
      <c r="C37" s="32">
        <v>-0.22458895903526999</v>
      </c>
      <c r="D37" s="32">
        <v>-7.169660019572166E-2</v>
      </c>
      <c r="E37" s="32">
        <v>4.039229749744444E-2</v>
      </c>
      <c r="F37" s="32">
        <v>0.13516733021470517</v>
      </c>
      <c r="G37" s="32">
        <v>0.22064614659738813</v>
      </c>
      <c r="H37" s="32">
        <v>0.30047107009996865</v>
      </c>
      <c r="I37" s="32">
        <v>0.37657059887914834</v>
      </c>
      <c r="J37" s="32">
        <v>0.45007183236574888</v>
      </c>
      <c r="K37" s="32">
        <v>0.59186846101973511</v>
      </c>
      <c r="L37" s="32">
        <v>0.72917484602536731</v>
      </c>
      <c r="M37" s="32">
        <v>0.86365184039542142</v>
      </c>
      <c r="N37" s="32">
        <v>0.99623521710799134</v>
      </c>
      <c r="O37" s="56">
        <v>1.1274968814396522</v>
      </c>
    </row>
    <row r="38" spans="1:15" ht="14.25">
      <c r="A38" s="54"/>
      <c r="O38" s="57"/>
    </row>
    <row r="39" spans="1:15">
      <c r="A39" s="58" t="s">
        <v>37</v>
      </c>
      <c r="O39" s="57"/>
    </row>
    <row r="40" spans="1:15">
      <c r="A40" s="54" t="s">
        <v>35</v>
      </c>
      <c r="B40" s="32" t="e">
        <v>#N/A</v>
      </c>
      <c r="C40" s="32" t="e">
        <v>#N/A</v>
      </c>
      <c r="D40" s="32">
        <v>2.2583599817507016E-2</v>
      </c>
      <c r="E40" s="32">
        <v>0.5115377550138378</v>
      </c>
      <c r="F40" s="32">
        <v>0.91626570452973577</v>
      </c>
      <c r="G40" s="32">
        <v>1.2840089898062232</v>
      </c>
      <c r="H40" s="32">
        <v>1.636885187112683</v>
      </c>
      <c r="I40" s="32">
        <v>1.9828369456282506</v>
      </c>
      <c r="J40" s="32">
        <v>2.3252141652988474</v>
      </c>
      <c r="K40" s="32">
        <v>3.0048313122200794</v>
      </c>
      <c r="L40" s="32">
        <v>3.6813924149422554</v>
      </c>
      <c r="M40" s="32">
        <v>4.3566921277625426</v>
      </c>
      <c r="N40" s="32">
        <v>5.0314073142070157</v>
      </c>
      <c r="O40" s="56">
        <v>5.7058267036082295</v>
      </c>
    </row>
    <row r="41" spans="1:15" ht="15" customHeight="1">
      <c r="A41" s="59" t="s">
        <v>36</v>
      </c>
      <c r="B41" s="60" t="e">
        <v>#N/A</v>
      </c>
      <c r="C41" s="60">
        <v>-0.14319063868723692</v>
      </c>
      <c r="D41" s="60">
        <v>0.30007405451239322</v>
      </c>
      <c r="E41" s="60">
        <v>0.7453538337810679</v>
      </c>
      <c r="F41" s="60">
        <v>1.1037603846642958</v>
      </c>
      <c r="G41" s="60">
        <v>1.4302937323976956</v>
      </c>
      <c r="H41" s="60">
        <v>1.7428790694929486</v>
      </c>
      <c r="I41" s="60">
        <v>2.0483764307939971</v>
      </c>
      <c r="J41" s="60">
        <v>2.3499220009827781</v>
      </c>
      <c r="K41" s="60">
        <v>2.9468522486340971</v>
      </c>
      <c r="L41" s="60">
        <v>3.5397899746459904</v>
      </c>
      <c r="M41" s="60">
        <v>4.1309216639718764</v>
      </c>
      <c r="N41" s="60">
        <v>4.7211535471769013</v>
      </c>
      <c r="O41" s="61">
        <v>5.3109027065962922</v>
      </c>
    </row>
    <row r="43" spans="1:15" ht="14.25">
      <c r="A43" s="54"/>
      <c r="O43" s="57"/>
    </row>
    <row r="44" spans="1:15">
      <c r="A44" s="58" t="s">
        <v>38</v>
      </c>
      <c r="O44" s="57"/>
    </row>
    <row r="45" spans="1:15">
      <c r="A45" s="54" t="s">
        <v>35</v>
      </c>
      <c r="B45" s="32" t="e">
        <v>#N/A</v>
      </c>
      <c r="C45" s="32" t="e">
        <v>#N/A</v>
      </c>
      <c r="D45" s="32">
        <v>0.58195841752130995</v>
      </c>
      <c r="E45" s="32">
        <v>1.899330526266283</v>
      </c>
      <c r="F45" s="32">
        <v>2.9475491668254357</v>
      </c>
      <c r="G45" s="32">
        <v>3.9691409423646942</v>
      </c>
      <c r="H45" s="32">
        <v>4.9841047649119021</v>
      </c>
      <c r="I45" s="32">
        <v>5.9968565254431638</v>
      </c>
      <c r="J45" s="32">
        <v>7.008726081049824</v>
      </c>
      <c r="K45" s="32">
        <v>9.0314694943548055</v>
      </c>
      <c r="L45" s="32">
        <v>11.053742780157558</v>
      </c>
      <c r="M45" s="32">
        <v>13.075861929342373</v>
      </c>
      <c r="N45" s="32">
        <v>15.097920609866133</v>
      </c>
      <c r="O45" s="56">
        <v>17.119952308712499</v>
      </c>
    </row>
    <row r="46" spans="1:15" ht="15" customHeight="1">
      <c r="A46" s="59" t="s">
        <v>36</v>
      </c>
      <c r="B46" s="60" t="e">
        <v>#N/A</v>
      </c>
      <c r="C46" s="60">
        <v>0.30171675434968503</v>
      </c>
      <c r="D46" s="60">
        <v>6.5985826998013977</v>
      </c>
      <c r="E46" s="60">
        <v>9.8448277264476989</v>
      </c>
      <c r="F46" s="60">
        <v>13.085723703345328</v>
      </c>
      <c r="G46" s="60">
        <v>16.325608619905587</v>
      </c>
      <c r="H46" s="60">
        <v>19.565213418868922</v>
      </c>
      <c r="I46" s="60">
        <v>22.804720107797881</v>
      </c>
      <c r="J46" s="60">
        <v>26.044186463638535</v>
      </c>
      <c r="K46" s="60">
        <v>32.523072481213831</v>
      </c>
      <c r="L46" s="60">
        <v>39.001935934817496</v>
      </c>
      <c r="M46" s="60">
        <v>45.480791819042146</v>
      </c>
      <c r="N46" s="60">
        <v>51.959644684424816</v>
      </c>
      <c r="O46" s="61">
        <v>58.438496185727026</v>
      </c>
    </row>
  </sheetData>
  <mergeCells count="3">
    <mergeCell ref="A1:B1"/>
    <mergeCell ref="C1:C17"/>
    <mergeCell ref="D1:D17"/>
  </mergeCells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2BEBC-013A-4DC5-A88D-27DE84912F46}">
  <dimension ref="A1:B12"/>
  <sheetViews>
    <sheetView workbookViewId="0">
      <selection activeCell="A8" sqref="A8"/>
    </sheetView>
  </sheetViews>
  <sheetFormatPr defaultRowHeight="15"/>
  <cols>
    <col min="1" max="1" width="28.42578125" bestFit="1" customWidth="1"/>
    <col min="2" max="2" width="13" bestFit="1" customWidth="1"/>
  </cols>
  <sheetData>
    <row r="1" spans="1:2" ht="14.25">
      <c r="A1" t="s">
        <v>39</v>
      </c>
    </row>
    <row r="2" spans="1:2" ht="14.25">
      <c r="A2" t="s">
        <v>40</v>
      </c>
      <c r="B2" s="4">
        <v>0.8</v>
      </c>
    </row>
    <row r="3" spans="1:2" ht="14.25">
      <c r="A3" t="s">
        <v>41</v>
      </c>
      <c r="B3" s="40">
        <f>-1*B4*B2</f>
        <v>40800</v>
      </c>
    </row>
    <row r="4" spans="1:2" ht="14.25">
      <c r="A4" t="s">
        <v>7</v>
      </c>
      <c r="B4" s="40">
        <f>-1*('IRR inputs &amp; outputs'!B4+'IRR inputs &amp; outputs'!B16)</f>
        <v>-51000</v>
      </c>
    </row>
    <row r="5" spans="1:2" ht="14.25">
      <c r="A5" t="s">
        <v>32</v>
      </c>
      <c r="B5" s="41">
        <f>-1*('IRR inputs &amp; outputs'!H32)</f>
        <v>-31750</v>
      </c>
    </row>
    <row r="6" spans="1:2" ht="14.25">
      <c r="A6" t="s">
        <v>31</v>
      </c>
      <c r="B6" s="45">
        <f>-1*('IRR inputs &amp; outputs'!D31)</f>
        <v>-54697.901052631569</v>
      </c>
    </row>
    <row r="7" spans="1:2" ht="30.75">
      <c r="A7" s="44" t="s">
        <v>42</v>
      </c>
      <c r="B7" s="41">
        <f>'IRR inputs &amp; outputs'!D33</f>
        <v>119486.40000000001</v>
      </c>
    </row>
    <row r="8" spans="1:2" ht="30.75">
      <c r="A8" s="44" t="s">
        <v>43</v>
      </c>
      <c r="B8" s="41"/>
    </row>
    <row r="9" spans="1:2">
      <c r="A9" s="44"/>
      <c r="B9" s="41"/>
    </row>
    <row r="10" spans="1:2">
      <c r="A10" s="44"/>
    </row>
    <row r="11" spans="1:2">
      <c r="A11" s="44"/>
    </row>
    <row r="12" spans="1:2">
      <c r="A12" s="44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6B25F-32B1-416C-A2F5-07AF3AD6F919}">
  <dimension ref="A1:B12"/>
  <sheetViews>
    <sheetView workbookViewId="0">
      <selection activeCell="B7" sqref="B7"/>
    </sheetView>
  </sheetViews>
  <sheetFormatPr defaultRowHeight="15"/>
  <cols>
    <col min="1" max="1" width="28.42578125" bestFit="1" customWidth="1"/>
    <col min="2" max="2" width="13" bestFit="1" customWidth="1"/>
  </cols>
  <sheetData>
    <row r="1" spans="1:2" ht="14.25">
      <c r="A1" t="s">
        <v>39</v>
      </c>
    </row>
    <row r="2" spans="1:2" ht="14.25">
      <c r="A2" t="s">
        <v>40</v>
      </c>
      <c r="B2" s="4">
        <v>0.8</v>
      </c>
    </row>
    <row r="3" spans="1:2" ht="14.25">
      <c r="A3" t="s">
        <v>41</v>
      </c>
      <c r="B3" s="40">
        <f>-1*B4*B2</f>
        <v>40800</v>
      </c>
    </row>
    <row r="4" spans="1:2" ht="14.25">
      <c r="A4" t="s">
        <v>7</v>
      </c>
      <c r="B4" s="40">
        <f>-1*('IRR inputs &amp; outputs'!B4+'IRR inputs &amp; outputs'!B16)</f>
        <v>-51000</v>
      </c>
    </row>
    <row r="5" spans="1:2" ht="14.25">
      <c r="A5" t="s">
        <v>32</v>
      </c>
      <c r="B5" s="41">
        <f>-1*('IRR inputs &amp; outputs'!H32)</f>
        <v>-31750</v>
      </c>
    </row>
    <row r="6" spans="1:2" ht="14.25">
      <c r="A6" t="s">
        <v>31</v>
      </c>
      <c r="B6" s="45">
        <f>-1*('IRR inputs &amp; outputs'!D31)</f>
        <v>-54697.901052631569</v>
      </c>
    </row>
    <row r="7" spans="1:2" ht="30.75">
      <c r="A7" s="44" t="s">
        <v>42</v>
      </c>
      <c r="B7" s="41">
        <f>'IRR inputs &amp; outputs'!H33</f>
        <v>238972.80000000002</v>
      </c>
    </row>
    <row r="8" spans="1:2" ht="30.75">
      <c r="A8" s="44" t="s">
        <v>43</v>
      </c>
      <c r="B8" s="41"/>
    </row>
    <row r="9" spans="1:2">
      <c r="A9" s="44"/>
      <c r="B9" s="41"/>
    </row>
    <row r="10" spans="1:2">
      <c r="A10" s="44"/>
    </row>
    <row r="11" spans="1:2">
      <c r="A11" s="44"/>
    </row>
    <row r="12" spans="1:2">
      <c r="A12" s="44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63D72-3F68-449A-B466-A0A60B0A281E}">
  <dimension ref="A1:T126"/>
  <sheetViews>
    <sheetView workbookViewId="0">
      <selection activeCell="L18" sqref="A17:L18"/>
    </sheetView>
  </sheetViews>
  <sheetFormatPr defaultRowHeight="14.25"/>
  <cols>
    <col min="1" max="1" width="23.5703125" customWidth="1"/>
  </cols>
  <sheetData>
    <row r="1" spans="1:15">
      <c r="A1" s="1" t="s">
        <v>24</v>
      </c>
      <c r="B1" s="5">
        <v>0.05</v>
      </c>
    </row>
    <row r="2" spans="1:15">
      <c r="A2" t="s">
        <v>44</v>
      </c>
      <c r="B2">
        <f>24*365</f>
        <v>8760</v>
      </c>
    </row>
    <row r="3" spans="1:15">
      <c r="A3" t="s">
        <v>45</v>
      </c>
      <c r="B3">
        <f>B2*B1*'IRR inputs &amp; outputs'!B2*'IRR inputs &amp; outputs'!B3*'IRR inputs &amp; outputs'!$B$7</f>
        <v>21724.799999999999</v>
      </c>
      <c r="C3" t="s">
        <v>46</v>
      </c>
    </row>
    <row r="5" spans="1:15">
      <c r="A5" s="1" t="s">
        <v>47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48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49</v>
      </c>
      <c r="B7" s="2"/>
      <c r="C7" s="2">
        <f>$B$3*'IRR inputs &amp; outputs'!$B$13</f>
        <v>11948.640000000001</v>
      </c>
      <c r="D7" s="2">
        <f>$B$3*'IRR inputs &amp; outputs'!$B$13</f>
        <v>11948.640000000001</v>
      </c>
      <c r="E7" s="2">
        <f>$B$3*'IRR inputs &amp; outputs'!$B$13</f>
        <v>11948.640000000001</v>
      </c>
      <c r="F7" s="2">
        <f>$B$3*'IRR inputs &amp; outputs'!$B$13</f>
        <v>11948.640000000001</v>
      </c>
      <c r="G7" s="2">
        <f>$B$3*'IRR inputs &amp; outputs'!$B$13</f>
        <v>11948.640000000001</v>
      </c>
      <c r="H7" s="2">
        <f>$B$3*'IRR inputs &amp; outputs'!$B$13</f>
        <v>11948.640000000001</v>
      </c>
      <c r="I7" s="2">
        <f>$B$3*'IRR inputs &amp; outputs'!$B$13</f>
        <v>11948.640000000001</v>
      </c>
      <c r="J7" s="2">
        <f>$B$3*'IRR inputs &amp; outputs'!$B$13</f>
        <v>11948.640000000001</v>
      </c>
      <c r="K7" s="2">
        <f>$B$3*'IRR inputs &amp; outputs'!$B$13</f>
        <v>11948.640000000001</v>
      </c>
      <c r="L7" s="2">
        <f>$B$3*'IRR inputs &amp; outputs'!$B$13</f>
        <v>11948.640000000001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50</v>
      </c>
      <c r="B9" s="2"/>
      <c r="C9" s="2">
        <f t="shared" ref="C9:L9" si="0">SUM(C7:C8)</f>
        <v>11948.640000000001</v>
      </c>
      <c r="D9" s="2">
        <f t="shared" si="0"/>
        <v>11948.640000000001</v>
      </c>
      <c r="E9" s="2">
        <f t="shared" si="0"/>
        <v>11948.640000000001</v>
      </c>
      <c r="F9" s="2">
        <f t="shared" si="0"/>
        <v>11948.640000000001</v>
      </c>
      <c r="G9" s="2">
        <f t="shared" si="0"/>
        <v>11948.640000000001</v>
      </c>
      <c r="H9" s="2">
        <f t="shared" si="0"/>
        <v>11948.640000000001</v>
      </c>
      <c r="I9" s="2">
        <f t="shared" si="0"/>
        <v>11948.640000000001</v>
      </c>
      <c r="J9" s="2">
        <f t="shared" si="0"/>
        <v>11948.640000000001</v>
      </c>
      <c r="K9" s="2">
        <f t="shared" si="0"/>
        <v>11948.640000000001</v>
      </c>
      <c r="L9" s="2">
        <f t="shared" si="0"/>
        <v>11948.640000000001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51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50000</v>
      </c>
      <c r="C12" s="2"/>
      <c r="D12" s="2"/>
      <c r="E12" s="2"/>
      <c r="F12" s="2"/>
      <c r="G12" s="2">
        <f>'IRR inputs &amp; outputs'!B15</f>
        <v>35000</v>
      </c>
      <c r="H12" s="2"/>
      <c r="I12" s="2"/>
      <c r="J12" s="2"/>
      <c r="K12" s="2"/>
      <c r="L12" s="2"/>
    </row>
    <row r="13" spans="1:15">
      <c r="A13" t="s">
        <v>52</v>
      </c>
      <c r="B13" s="2">
        <f>'IRR inputs &amp; outputs'!B16</f>
        <v>1000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53</v>
      </c>
      <c r="B14" s="2"/>
      <c r="C14" s="2">
        <f>'IRR inputs &amp; outputs'!$B$17</f>
        <v>5000</v>
      </c>
      <c r="D14" s="2">
        <f>'IRR inputs &amp; outputs'!$B$17</f>
        <v>5000</v>
      </c>
      <c r="E14" s="2">
        <f>'IRR inputs &amp; outputs'!$B$17</f>
        <v>5000</v>
      </c>
      <c r="F14" s="2">
        <f>'IRR inputs &amp; outputs'!$B$17</f>
        <v>5000</v>
      </c>
      <c r="G14" s="2">
        <f>'IRR inputs &amp; outputs'!$B$17</f>
        <v>5000</v>
      </c>
      <c r="H14" s="2">
        <f>'IRR inputs &amp; outputs'!$B$17</f>
        <v>5000</v>
      </c>
      <c r="I14" s="2">
        <f>'IRR inputs &amp; outputs'!$B$17</f>
        <v>5000</v>
      </c>
      <c r="J14" s="2">
        <f>'IRR inputs &amp; outputs'!$B$17</f>
        <v>5000</v>
      </c>
      <c r="K14" s="2">
        <f>'IRR inputs &amp; outputs'!$B$17</f>
        <v>5000</v>
      </c>
      <c r="L14" s="2">
        <f>'IRR inputs &amp; outputs'!$B$17</f>
        <v>5000</v>
      </c>
    </row>
    <row r="15" spans="1:15">
      <c r="A15" t="s">
        <v>54</v>
      </c>
      <c r="B15" s="2"/>
      <c r="C15" s="2">
        <f>'IRR inputs &amp; outputs'!B14</f>
        <v>750</v>
      </c>
      <c r="D15" s="2">
        <f>'IRR inputs &amp; outputs'!B14</f>
        <v>750</v>
      </c>
      <c r="E15" s="2">
        <f>'IRR inputs &amp; outputs'!B14</f>
        <v>750</v>
      </c>
      <c r="F15" s="2">
        <f>'IRR inputs &amp; outputs'!B14</f>
        <v>750</v>
      </c>
      <c r="G15" s="2">
        <f>'IRR inputs &amp; outputs'!B14</f>
        <v>750</v>
      </c>
      <c r="H15" s="2">
        <f>'IRR inputs &amp; outputs'!B14</f>
        <v>750</v>
      </c>
      <c r="I15" s="2">
        <f>'IRR inputs &amp; outputs'!B14</f>
        <v>750</v>
      </c>
      <c r="J15" s="2">
        <f>'IRR inputs &amp; outputs'!B14</f>
        <v>750</v>
      </c>
      <c r="K15" s="2">
        <f>'IRR inputs &amp; outputs'!B14</f>
        <v>750</v>
      </c>
      <c r="L15" s="2">
        <f>'IRR inputs &amp; outputs'!B14</f>
        <v>750</v>
      </c>
    </row>
    <row r="16" spans="1:15">
      <c r="A16" t="s">
        <v>55</v>
      </c>
      <c r="B16" s="2"/>
      <c r="C16" s="2">
        <f>(1/'IRR inputs &amp; outputs'!$B$8)*$B$3*'IRR inputs &amp; outputs'!$B$9+'IRR inputs &amp; outputs'!$B$10</f>
        <v>4573.6421052631576</v>
      </c>
      <c r="D16" s="2">
        <f>(1/'IRR inputs &amp; outputs'!$B$8)*$B$3*'IRR inputs &amp; outputs'!$B$9+'IRR inputs &amp; outputs'!$B$10</f>
        <v>4573.6421052631576</v>
      </c>
      <c r="E16" s="2">
        <f>(1/'IRR inputs &amp; outputs'!$B$8)*$B$3*'IRR inputs &amp; outputs'!$B$9+'IRR inputs &amp; outputs'!$B$10</f>
        <v>4573.6421052631576</v>
      </c>
      <c r="F16" s="2">
        <f>(1/'IRR inputs &amp; outputs'!$B$8)*$B$3*'IRR inputs &amp; outputs'!$B$9+'IRR inputs &amp; outputs'!$B$10</f>
        <v>4573.6421052631576</v>
      </c>
      <c r="G16" s="2">
        <f>(1/'IRR inputs &amp; outputs'!$B$8)*$B$3*'IRR inputs &amp; outputs'!$B$9+'IRR inputs &amp; outputs'!$B$10</f>
        <v>4573.6421052631576</v>
      </c>
      <c r="H16" s="2">
        <f>(1/'IRR inputs &amp; outputs'!$B$8)*$B$3*'IRR inputs &amp; outputs'!$B$9+'IRR inputs &amp; outputs'!$B$10</f>
        <v>4573.6421052631576</v>
      </c>
      <c r="I16" s="2">
        <f>(1/'IRR inputs &amp; outputs'!$B$8)*$B$3*'IRR inputs &amp; outputs'!$B$9+'IRR inputs &amp; outputs'!$B$10</f>
        <v>4573.6421052631576</v>
      </c>
      <c r="J16" s="2">
        <f>(1/'IRR inputs &amp; outputs'!$B$8)*$B$3*'IRR inputs &amp; outputs'!$B$9+'IRR inputs &amp; outputs'!$B$10</f>
        <v>4573.6421052631576</v>
      </c>
      <c r="K16" s="2">
        <f>(1/'IRR inputs &amp; outputs'!$B$8)*$B$3*'IRR inputs &amp; outputs'!$B$9+'IRR inputs &amp; outputs'!$B$10</f>
        <v>4573.6421052631576</v>
      </c>
      <c r="L16" s="2">
        <f>(1/'IRR inputs &amp; outputs'!$B$8)*$B$3*'IRR inputs &amp; outputs'!$B$9+'IRR inputs &amp; outputs'!$B$10</f>
        <v>4573.6421052631576</v>
      </c>
    </row>
    <row r="17" spans="1:12">
      <c r="A17" t="s">
        <v>56</v>
      </c>
      <c r="B17" s="2"/>
      <c r="C17" s="46">
        <f>'IRR inputs &amp; outputs'!$B$12</f>
        <v>600</v>
      </c>
      <c r="D17" s="2">
        <f>'IRR inputs &amp; outputs'!$B$12</f>
        <v>600</v>
      </c>
      <c r="E17" s="2">
        <f>'IRR inputs &amp; outputs'!$B$12</f>
        <v>600</v>
      </c>
      <c r="F17" s="2">
        <f>'IRR inputs &amp; outputs'!$B$12</f>
        <v>600</v>
      </c>
      <c r="G17" s="2">
        <f>'IRR inputs &amp; outputs'!$B$12</f>
        <v>600</v>
      </c>
      <c r="H17" s="2">
        <f>'IRR inputs &amp; outputs'!$B$12</f>
        <v>600</v>
      </c>
      <c r="I17" s="2">
        <f>'IRR inputs &amp; outputs'!$B$12</f>
        <v>600</v>
      </c>
      <c r="J17" s="2">
        <f>'IRR inputs &amp; outputs'!$B$12</f>
        <v>600</v>
      </c>
      <c r="K17" s="2">
        <f>'IRR inputs &amp; outputs'!$B$12</f>
        <v>600</v>
      </c>
      <c r="L17" s="2">
        <f>'IRR inputs &amp; outputs'!$B$12</f>
        <v>600</v>
      </c>
    </row>
    <row r="18" spans="1:12">
      <c r="A18" t="s">
        <v>57</v>
      </c>
      <c r="B18" s="2"/>
      <c r="C18" s="2">
        <f>$B$3*'IRR inputs &amp; outputs'!$B$11*'IRR inputs &amp; outputs'!$B$13</f>
        <v>896.14800000000002</v>
      </c>
      <c r="D18" s="2">
        <f>$B$3*'IRR inputs &amp; outputs'!$B$11*'IRR inputs &amp; outputs'!$B$13</f>
        <v>896.14800000000002</v>
      </c>
      <c r="E18" s="2">
        <f>$B$3*'IRR inputs &amp; outputs'!$B$11*'IRR inputs &amp; outputs'!$B$13</f>
        <v>896.14800000000002</v>
      </c>
      <c r="F18" s="2">
        <f>$B$3*'IRR inputs &amp; outputs'!$B$11*'IRR inputs &amp; outputs'!$B$13</f>
        <v>896.14800000000002</v>
      </c>
      <c r="G18" s="2">
        <f>$B$3*'IRR inputs &amp; outputs'!$B$11*'IRR inputs &amp; outputs'!$B$13</f>
        <v>896.14800000000002</v>
      </c>
      <c r="H18" s="2">
        <f>$B$3*'IRR inputs &amp; outputs'!$B$11*'IRR inputs &amp; outputs'!$B$13</f>
        <v>896.14800000000002</v>
      </c>
      <c r="I18" s="2">
        <f>$B$3*'IRR inputs &amp; outputs'!$B$11*'IRR inputs &amp; outputs'!$B$13</f>
        <v>896.14800000000002</v>
      </c>
      <c r="J18" s="2">
        <f>$B$3*'IRR inputs &amp; outputs'!$B$11*'IRR inputs &amp; outputs'!$B$13</f>
        <v>896.14800000000002</v>
      </c>
      <c r="K18" s="2">
        <f>$B$3*'IRR inputs &amp; outputs'!$B$11*'IRR inputs &amp; outputs'!$B$13</f>
        <v>896.14800000000002</v>
      </c>
      <c r="L18" s="2">
        <f>$B$3*'IRR inputs &amp; outputs'!$B$11*'IRR inputs &amp; outputs'!$B$13</f>
        <v>896.14800000000002</v>
      </c>
    </row>
    <row r="19" spans="1:12">
      <c r="A19" t="s">
        <v>58</v>
      </c>
      <c r="B19" s="3">
        <f t="shared" ref="B19:L19" si="1">SUM(B12:B18)</f>
        <v>51000</v>
      </c>
      <c r="C19" s="3">
        <f t="shared" si="1"/>
        <v>11819.790105263157</v>
      </c>
      <c r="D19" s="3">
        <f t="shared" si="1"/>
        <v>11819.790105263157</v>
      </c>
      <c r="E19" s="3">
        <f t="shared" si="1"/>
        <v>11819.790105263157</v>
      </c>
      <c r="F19" s="3">
        <f t="shared" si="1"/>
        <v>11819.790105263157</v>
      </c>
      <c r="G19" s="3">
        <f t="shared" si="1"/>
        <v>46819.790105263157</v>
      </c>
      <c r="H19" s="3">
        <f t="shared" si="1"/>
        <v>11819.790105263157</v>
      </c>
      <c r="I19" s="3">
        <f t="shared" si="1"/>
        <v>11819.790105263157</v>
      </c>
      <c r="J19" s="3">
        <f t="shared" si="1"/>
        <v>11819.790105263157</v>
      </c>
      <c r="K19" s="3">
        <f t="shared" si="1"/>
        <v>11819.790105263157</v>
      </c>
      <c r="L19" s="3">
        <f t="shared" si="1"/>
        <v>11819.790105263157</v>
      </c>
    </row>
    <row r="21" spans="1:12">
      <c r="A21" t="s">
        <v>59</v>
      </c>
      <c r="B21" s="3">
        <f t="shared" ref="B21:L21" si="2">B9-B19</f>
        <v>-51000</v>
      </c>
      <c r="C21" s="3">
        <f t="shared" si="2"/>
        <v>128.84989473684436</v>
      </c>
      <c r="D21" s="3">
        <f t="shared" si="2"/>
        <v>128.84989473684436</v>
      </c>
      <c r="E21" s="3">
        <f t="shared" si="2"/>
        <v>128.84989473684436</v>
      </c>
      <c r="F21" s="3">
        <f t="shared" si="2"/>
        <v>128.84989473684436</v>
      </c>
      <c r="G21" s="3">
        <f t="shared" si="2"/>
        <v>-34871.150105263157</v>
      </c>
      <c r="H21" s="3">
        <f t="shared" si="2"/>
        <v>128.84989473684436</v>
      </c>
      <c r="I21" s="3">
        <f t="shared" si="2"/>
        <v>128.84989473684436</v>
      </c>
      <c r="J21" s="3">
        <f t="shared" si="2"/>
        <v>128.84989473684436</v>
      </c>
      <c r="K21" s="3">
        <f t="shared" si="2"/>
        <v>128.84989473684436</v>
      </c>
      <c r="L21" s="3">
        <f t="shared" si="2"/>
        <v>128.84989473684436</v>
      </c>
    </row>
    <row r="23" spans="1:12">
      <c r="A23" t="s">
        <v>25</v>
      </c>
      <c r="B23" s="4" t="e">
        <f>IFERROR(IRR(B21:L21),NA())</f>
        <v>#N/A</v>
      </c>
    </row>
    <row r="25" spans="1:12">
      <c r="A25" s="1" t="s">
        <v>60</v>
      </c>
    </row>
    <row r="26" spans="1:12">
      <c r="A26" t="s">
        <v>41</v>
      </c>
      <c r="B26" s="4">
        <v>0.1</v>
      </c>
    </row>
    <row r="27" spans="1:12">
      <c r="A27" t="s">
        <v>61</v>
      </c>
      <c r="B27" s="3">
        <f>$B$12*(1-B26)</f>
        <v>45000</v>
      </c>
    </row>
    <row r="28" spans="1:12">
      <c r="A28" s="4" t="s">
        <v>62</v>
      </c>
      <c r="B28" s="3">
        <f>-B27</f>
        <v>-45000</v>
      </c>
      <c r="C28" s="3">
        <f>$C$21</f>
        <v>128.84989473684436</v>
      </c>
      <c r="D28" s="3">
        <f>$D$21</f>
        <v>128.84989473684436</v>
      </c>
      <c r="E28" s="3">
        <f>$E$21</f>
        <v>128.84989473684436</v>
      </c>
      <c r="F28" s="3">
        <f>$F$21</f>
        <v>128.84989473684436</v>
      </c>
      <c r="G28" s="3">
        <f>$G$21</f>
        <v>-34871.150105263157</v>
      </c>
      <c r="H28" s="3">
        <f>$H$21</f>
        <v>128.84989473684436</v>
      </c>
      <c r="I28" s="3">
        <f>$I$21</f>
        <v>128.84989473684436</v>
      </c>
      <c r="J28" s="3">
        <f>$J$21</f>
        <v>128.84989473684436</v>
      </c>
      <c r="K28" s="3">
        <f>$K$21</f>
        <v>128.84989473684436</v>
      </c>
      <c r="L28" s="3">
        <f>$L$21</f>
        <v>128.84989473684436</v>
      </c>
    </row>
    <row r="29" spans="1:12">
      <c r="A29" s="4" t="s">
        <v>25</v>
      </c>
      <c r="B29" s="4" t="e">
        <f>IFERROR(IRR(B28:L28),NA())</f>
        <v>#N/A</v>
      </c>
    </row>
    <row r="30" spans="1:12">
      <c r="A30" s="4"/>
      <c r="B30" s="3"/>
    </row>
    <row r="31" spans="1:12">
      <c r="A31" t="s">
        <v>41</v>
      </c>
      <c r="B31" s="4">
        <v>0.15</v>
      </c>
    </row>
    <row r="32" spans="1:12">
      <c r="A32" t="s">
        <v>61</v>
      </c>
      <c r="B32" s="3">
        <f>$B$12*(1-B31)</f>
        <v>42500</v>
      </c>
    </row>
    <row r="33" spans="1:12">
      <c r="A33" s="4" t="s">
        <v>62</v>
      </c>
      <c r="B33" s="3">
        <f>-B32</f>
        <v>-42500</v>
      </c>
      <c r="C33" s="3">
        <f>$C$21</f>
        <v>128.84989473684436</v>
      </c>
      <c r="D33" s="3">
        <f>$D$21</f>
        <v>128.84989473684436</v>
      </c>
      <c r="E33" s="3">
        <f>$E$21</f>
        <v>128.84989473684436</v>
      </c>
      <c r="F33" s="3">
        <f>$F$21</f>
        <v>128.84989473684436</v>
      </c>
      <c r="G33" s="3">
        <f>$G$21</f>
        <v>-34871.150105263157</v>
      </c>
      <c r="H33" s="3">
        <f>$H$21</f>
        <v>128.84989473684436</v>
      </c>
      <c r="I33" s="3">
        <f>$I$21</f>
        <v>128.84989473684436</v>
      </c>
      <c r="J33" s="3">
        <f>$J$21</f>
        <v>128.84989473684436</v>
      </c>
      <c r="K33" s="3">
        <f>$K$21</f>
        <v>128.84989473684436</v>
      </c>
      <c r="L33" s="3">
        <f>$L$21</f>
        <v>128.84989473684436</v>
      </c>
    </row>
    <row r="34" spans="1:12">
      <c r="A34" s="4" t="s">
        <v>25</v>
      </c>
      <c r="B34" s="4" t="e">
        <f>IFERROR(IRR(B33:L33),NA())</f>
        <v>#N/A</v>
      </c>
    </row>
    <row r="35" spans="1:12">
      <c r="A35" s="4"/>
      <c r="B35" s="3"/>
    </row>
    <row r="36" spans="1:12">
      <c r="A36" t="s">
        <v>41</v>
      </c>
      <c r="B36" s="4">
        <v>0.2</v>
      </c>
    </row>
    <row r="37" spans="1:12">
      <c r="A37" t="s">
        <v>61</v>
      </c>
      <c r="B37" s="3">
        <f>$B$12*(1-B36)</f>
        <v>40000</v>
      </c>
    </row>
    <row r="38" spans="1:12">
      <c r="A38" s="4" t="s">
        <v>62</v>
      </c>
      <c r="B38" s="3">
        <f>-B37</f>
        <v>-40000</v>
      </c>
      <c r="C38" s="3">
        <f>$C$21</f>
        <v>128.84989473684436</v>
      </c>
      <c r="D38" s="3">
        <f>$D$21</f>
        <v>128.84989473684436</v>
      </c>
      <c r="E38" s="3">
        <f>$E$21</f>
        <v>128.84989473684436</v>
      </c>
      <c r="F38" s="3">
        <f>$F$21</f>
        <v>128.84989473684436</v>
      </c>
      <c r="G38" s="3">
        <f>$G$21</f>
        <v>-34871.150105263157</v>
      </c>
      <c r="H38" s="3">
        <f>$H$21</f>
        <v>128.84989473684436</v>
      </c>
      <c r="I38" s="3">
        <f>$I$21</f>
        <v>128.84989473684436</v>
      </c>
      <c r="J38" s="3">
        <f>$J$21</f>
        <v>128.84989473684436</v>
      </c>
      <c r="K38" s="3">
        <f>$K$21</f>
        <v>128.84989473684436</v>
      </c>
      <c r="L38" s="3">
        <f>$L$21</f>
        <v>128.84989473684436</v>
      </c>
    </row>
    <row r="39" spans="1:12">
      <c r="A39" s="4" t="s">
        <v>25</v>
      </c>
      <c r="B39" s="4" t="e">
        <f>IFERROR(IRR(B38:L38),NA())</f>
        <v>#N/A</v>
      </c>
    </row>
    <row r="41" spans="1:12">
      <c r="A41" t="s">
        <v>41</v>
      </c>
      <c r="B41" s="4">
        <v>0.25</v>
      </c>
    </row>
    <row r="42" spans="1:12">
      <c r="A42" t="s">
        <v>61</v>
      </c>
      <c r="B42" s="3">
        <f>$B$12*(1-B41)</f>
        <v>37500</v>
      </c>
    </row>
    <row r="43" spans="1:12">
      <c r="A43" s="4" t="s">
        <v>62</v>
      </c>
      <c r="B43" s="3">
        <f>-B42</f>
        <v>-37500</v>
      </c>
      <c r="C43" s="3">
        <f>$C$21</f>
        <v>128.84989473684436</v>
      </c>
      <c r="D43" s="3">
        <f>$D$21</f>
        <v>128.84989473684436</v>
      </c>
      <c r="E43" s="3">
        <f>$E$21</f>
        <v>128.84989473684436</v>
      </c>
      <c r="F43" s="3">
        <f>$F$21</f>
        <v>128.84989473684436</v>
      </c>
      <c r="G43" s="3">
        <f>$G$21</f>
        <v>-34871.150105263157</v>
      </c>
      <c r="H43" s="3">
        <f>$H$21</f>
        <v>128.84989473684436</v>
      </c>
      <c r="I43" s="3">
        <f>$I$21</f>
        <v>128.84989473684436</v>
      </c>
      <c r="J43" s="3">
        <f>$J$21</f>
        <v>128.84989473684436</v>
      </c>
      <c r="K43" s="3">
        <f>$K$21</f>
        <v>128.84989473684436</v>
      </c>
      <c r="L43" s="3">
        <f>$L$21</f>
        <v>128.84989473684436</v>
      </c>
    </row>
    <row r="44" spans="1:12">
      <c r="A44" s="4" t="s">
        <v>25</v>
      </c>
      <c r="B44" s="4" t="e">
        <f>IFERROR(IRR(B43:L43),NA())</f>
        <v>#N/A</v>
      </c>
    </row>
    <row r="46" spans="1:12">
      <c r="A46" t="s">
        <v>41</v>
      </c>
      <c r="B46" s="4">
        <v>0.3</v>
      </c>
    </row>
    <row r="47" spans="1:12">
      <c r="A47" t="s">
        <v>61</v>
      </c>
      <c r="B47" s="3">
        <f>$B$12*(1-B46)</f>
        <v>35000</v>
      </c>
    </row>
    <row r="48" spans="1:12">
      <c r="A48" s="4" t="s">
        <v>62</v>
      </c>
      <c r="B48" s="3">
        <f>-B47</f>
        <v>-35000</v>
      </c>
      <c r="C48" s="3">
        <f>$C$21</f>
        <v>128.84989473684436</v>
      </c>
      <c r="D48" s="3">
        <f>$D$21</f>
        <v>128.84989473684436</v>
      </c>
      <c r="E48" s="3">
        <f>$E$21</f>
        <v>128.84989473684436</v>
      </c>
      <c r="F48" s="3">
        <f>$F$21</f>
        <v>128.84989473684436</v>
      </c>
      <c r="G48" s="3">
        <f>$G$21</f>
        <v>-34871.150105263157</v>
      </c>
      <c r="H48" s="3">
        <f>$H$21</f>
        <v>128.84989473684436</v>
      </c>
      <c r="I48" s="3">
        <f>$I$21</f>
        <v>128.84989473684436</v>
      </c>
      <c r="J48" s="3">
        <f>$J$21</f>
        <v>128.84989473684436</v>
      </c>
      <c r="K48" s="3">
        <f>$K$21</f>
        <v>128.84989473684436</v>
      </c>
      <c r="L48" s="3">
        <f>$L$21</f>
        <v>128.84989473684436</v>
      </c>
    </row>
    <row r="49" spans="1:12">
      <c r="A49" s="4" t="s">
        <v>25</v>
      </c>
      <c r="B49" s="4" t="e">
        <f>IFERROR(IRR(B48:L48),NA())</f>
        <v>#N/A</v>
      </c>
    </row>
    <row r="51" spans="1:12">
      <c r="A51" t="s">
        <v>41</v>
      </c>
      <c r="B51" s="4">
        <v>0.35</v>
      </c>
    </row>
    <row r="52" spans="1:12">
      <c r="A52" t="s">
        <v>61</v>
      </c>
      <c r="B52" s="3">
        <f>$B$12*(1-B51)</f>
        <v>32500</v>
      </c>
    </row>
    <row r="53" spans="1:12">
      <c r="A53" s="4" t="s">
        <v>62</v>
      </c>
      <c r="B53" s="3">
        <f>-B52</f>
        <v>-32500</v>
      </c>
      <c r="C53" s="3">
        <f>$C$21</f>
        <v>128.84989473684436</v>
      </c>
      <c r="D53" s="3">
        <f>$D$21</f>
        <v>128.84989473684436</v>
      </c>
      <c r="E53" s="3">
        <f>$E$21</f>
        <v>128.84989473684436</v>
      </c>
      <c r="F53" s="3">
        <f>$F$21</f>
        <v>128.84989473684436</v>
      </c>
      <c r="G53" s="3">
        <f>$G$21</f>
        <v>-34871.150105263157</v>
      </c>
      <c r="H53" s="3">
        <f>$H$21</f>
        <v>128.84989473684436</v>
      </c>
      <c r="I53" s="3">
        <f>$I$21</f>
        <v>128.84989473684436</v>
      </c>
      <c r="J53" s="3">
        <f>$J$21</f>
        <v>128.84989473684436</v>
      </c>
      <c r="K53" s="3">
        <f>$K$21</f>
        <v>128.84989473684436</v>
      </c>
      <c r="L53" s="3">
        <f>$L$21</f>
        <v>128.84989473684436</v>
      </c>
    </row>
    <row r="54" spans="1:12">
      <c r="A54" s="4" t="s">
        <v>25</v>
      </c>
      <c r="B54" s="4" t="e">
        <f>IFERROR(IRR(B53:L53),NA())</f>
        <v>#N/A</v>
      </c>
    </row>
    <row r="56" spans="1:12">
      <c r="A56" t="s">
        <v>41</v>
      </c>
      <c r="B56" s="4">
        <v>0.4</v>
      </c>
    </row>
    <row r="57" spans="1:12">
      <c r="A57" t="s">
        <v>61</v>
      </c>
      <c r="B57" s="3">
        <f>$B$12*(1-B56)</f>
        <v>30000</v>
      </c>
    </row>
    <row r="58" spans="1:12">
      <c r="A58" s="4" t="s">
        <v>62</v>
      </c>
      <c r="B58" s="3">
        <f>-B57</f>
        <v>-30000</v>
      </c>
      <c r="C58" s="3">
        <f>$C$21</f>
        <v>128.84989473684436</v>
      </c>
      <c r="D58" s="3">
        <f>$D$21</f>
        <v>128.84989473684436</v>
      </c>
      <c r="E58" s="3">
        <f>$E$21</f>
        <v>128.84989473684436</v>
      </c>
      <c r="F58" s="3">
        <f>$F$21</f>
        <v>128.84989473684436</v>
      </c>
      <c r="G58" s="3">
        <f>$G$21</f>
        <v>-34871.150105263157</v>
      </c>
      <c r="H58" s="3">
        <f>$H$21</f>
        <v>128.84989473684436</v>
      </c>
      <c r="I58" s="3">
        <f>$I$21</f>
        <v>128.84989473684436</v>
      </c>
      <c r="J58" s="3">
        <f>$J$21</f>
        <v>128.84989473684436</v>
      </c>
      <c r="K58" s="3">
        <f>$K$21</f>
        <v>128.84989473684436</v>
      </c>
      <c r="L58" s="3">
        <f>$L$21</f>
        <v>128.84989473684436</v>
      </c>
    </row>
    <row r="59" spans="1:12">
      <c r="A59" s="4" t="s">
        <v>25</v>
      </c>
      <c r="B59" s="4" t="e">
        <f>IFERROR(IRR(B58:L58),NA())</f>
        <v>#N/A</v>
      </c>
    </row>
    <row r="61" spans="1:12">
      <c r="A61" t="s">
        <v>41</v>
      </c>
      <c r="B61" s="4">
        <v>0.45</v>
      </c>
    </row>
    <row r="62" spans="1:12">
      <c r="A62" t="s">
        <v>61</v>
      </c>
      <c r="B62" s="3">
        <f>$B$12*(1-B61)</f>
        <v>27500.000000000004</v>
      </c>
    </row>
    <row r="63" spans="1:12">
      <c r="A63" s="4" t="s">
        <v>62</v>
      </c>
      <c r="B63" s="3">
        <f>-B62</f>
        <v>-27500.000000000004</v>
      </c>
      <c r="C63" s="3">
        <f>$C$21</f>
        <v>128.84989473684436</v>
      </c>
      <c r="D63" s="3">
        <f>$D$21</f>
        <v>128.84989473684436</v>
      </c>
      <c r="E63" s="3">
        <f>$E$21</f>
        <v>128.84989473684436</v>
      </c>
      <c r="F63" s="3">
        <f>$F$21</f>
        <v>128.84989473684436</v>
      </c>
      <c r="G63" s="3">
        <f>$G$21</f>
        <v>-34871.150105263157</v>
      </c>
      <c r="H63" s="3">
        <f>$H$21</f>
        <v>128.84989473684436</v>
      </c>
      <c r="I63" s="3">
        <f>$I$21</f>
        <v>128.84989473684436</v>
      </c>
      <c r="J63" s="3">
        <f>$J$21</f>
        <v>128.84989473684436</v>
      </c>
      <c r="K63" s="3">
        <f>$K$21</f>
        <v>128.84989473684436</v>
      </c>
      <c r="L63" s="3">
        <f>$L$21</f>
        <v>128.84989473684436</v>
      </c>
    </row>
    <row r="64" spans="1:12">
      <c r="A64" s="4" t="s">
        <v>25</v>
      </c>
      <c r="B64" s="4" t="e">
        <f>IFERROR(IRR(B63:L63),NA())</f>
        <v>#N/A</v>
      </c>
    </row>
    <row r="66" spans="1:12">
      <c r="A66" t="s">
        <v>41</v>
      </c>
      <c r="B66" s="4">
        <v>0.5</v>
      </c>
    </row>
    <row r="67" spans="1:12">
      <c r="A67" t="s">
        <v>61</v>
      </c>
      <c r="B67" s="3">
        <f>$B$12*(1-B66)</f>
        <v>25000</v>
      </c>
    </row>
    <row r="68" spans="1:12">
      <c r="A68" s="4" t="s">
        <v>62</v>
      </c>
      <c r="B68" s="3">
        <f>-B67</f>
        <v>-25000</v>
      </c>
      <c r="C68" s="3">
        <f>$C$21</f>
        <v>128.84989473684436</v>
      </c>
      <c r="D68" s="3">
        <f>$D$21</f>
        <v>128.84989473684436</v>
      </c>
      <c r="E68" s="3">
        <f>$E$21</f>
        <v>128.84989473684436</v>
      </c>
      <c r="F68" s="3">
        <f>$F$21</f>
        <v>128.84989473684436</v>
      </c>
      <c r="G68" s="3">
        <f>$G$21</f>
        <v>-34871.150105263157</v>
      </c>
      <c r="H68" s="3">
        <f>$H$21</f>
        <v>128.84989473684436</v>
      </c>
      <c r="I68" s="3">
        <f>$I$21</f>
        <v>128.84989473684436</v>
      </c>
      <c r="J68" s="3">
        <f>$J$21</f>
        <v>128.84989473684436</v>
      </c>
      <c r="K68" s="3">
        <f>$K$21</f>
        <v>128.84989473684436</v>
      </c>
      <c r="L68" s="3">
        <f>$L$21</f>
        <v>128.84989473684436</v>
      </c>
    </row>
    <row r="69" spans="1:12">
      <c r="A69" s="4" t="s">
        <v>25</v>
      </c>
      <c r="B69" s="4" t="e">
        <f>IFERROR(IRR(B68:L68),NA())</f>
        <v>#N/A</v>
      </c>
    </row>
    <row r="71" spans="1:12">
      <c r="A71" t="s">
        <v>41</v>
      </c>
      <c r="B71" s="4">
        <v>0.55000000000000004</v>
      </c>
    </row>
    <row r="72" spans="1:12">
      <c r="A72" t="s">
        <v>61</v>
      </c>
      <c r="B72" s="3">
        <f>$B$12*(1-B71)</f>
        <v>22499.999999999996</v>
      </c>
    </row>
    <row r="73" spans="1:12">
      <c r="A73" s="4" t="s">
        <v>62</v>
      </c>
      <c r="B73" s="3">
        <f>-B72</f>
        <v>-22499.999999999996</v>
      </c>
      <c r="C73" s="3">
        <f>$C$21</f>
        <v>128.84989473684436</v>
      </c>
      <c r="D73" s="3">
        <f>$D$21</f>
        <v>128.84989473684436</v>
      </c>
      <c r="E73" s="3">
        <f>$E$21</f>
        <v>128.84989473684436</v>
      </c>
      <c r="F73" s="3">
        <f>$F$21</f>
        <v>128.84989473684436</v>
      </c>
      <c r="G73" s="3">
        <f>$G$21</f>
        <v>-34871.150105263157</v>
      </c>
      <c r="H73" s="3">
        <f>$H$21</f>
        <v>128.84989473684436</v>
      </c>
      <c r="I73" s="3">
        <f>$I$21</f>
        <v>128.84989473684436</v>
      </c>
      <c r="J73" s="3">
        <f>$J$21</f>
        <v>128.84989473684436</v>
      </c>
      <c r="K73" s="3">
        <f>$K$21</f>
        <v>128.84989473684436</v>
      </c>
      <c r="L73" s="3">
        <f>$L$21</f>
        <v>128.84989473684436</v>
      </c>
    </row>
    <row r="74" spans="1:12">
      <c r="A74" s="4" t="s">
        <v>25</v>
      </c>
      <c r="B74" s="4" t="e">
        <f>IFERROR(IRR(B73:L73),NA())</f>
        <v>#N/A</v>
      </c>
    </row>
    <row r="76" spans="1:12">
      <c r="A76" t="s">
        <v>41</v>
      </c>
      <c r="B76" s="4">
        <v>0.6</v>
      </c>
    </row>
    <row r="77" spans="1:12">
      <c r="A77" t="s">
        <v>61</v>
      </c>
      <c r="B77" s="3">
        <f>$B$12*(1-B76)</f>
        <v>20000</v>
      </c>
    </row>
    <row r="78" spans="1:12">
      <c r="A78" s="4" t="s">
        <v>62</v>
      </c>
      <c r="B78" s="3">
        <f>-B77</f>
        <v>-20000</v>
      </c>
      <c r="C78" s="3">
        <f>$C$21</f>
        <v>128.84989473684436</v>
      </c>
      <c r="D78" s="3">
        <f>$D$21</f>
        <v>128.84989473684436</v>
      </c>
      <c r="E78" s="3">
        <f>$E$21</f>
        <v>128.84989473684436</v>
      </c>
      <c r="F78" s="3">
        <f>$F$21</f>
        <v>128.84989473684436</v>
      </c>
      <c r="G78" s="3">
        <f>$G$21</f>
        <v>-34871.150105263157</v>
      </c>
      <c r="H78" s="3">
        <f>$H$21</f>
        <v>128.84989473684436</v>
      </c>
      <c r="I78" s="3">
        <f>$I$21</f>
        <v>128.84989473684436</v>
      </c>
      <c r="J78" s="3">
        <f>$J$21</f>
        <v>128.84989473684436</v>
      </c>
      <c r="K78" s="3">
        <f>$K$21</f>
        <v>128.84989473684436</v>
      </c>
      <c r="L78" s="3">
        <f>$L$21</f>
        <v>128.84989473684436</v>
      </c>
    </row>
    <row r="79" spans="1:12">
      <c r="A79" s="4" t="s">
        <v>25</v>
      </c>
      <c r="B79" s="4" t="e">
        <f>IFERROR(IRR(B78:L78),NA())</f>
        <v>#N/A</v>
      </c>
    </row>
    <row r="81" spans="1:12">
      <c r="A81" t="s">
        <v>41</v>
      </c>
      <c r="B81" s="4">
        <v>0.65</v>
      </c>
    </row>
    <row r="82" spans="1:12">
      <c r="A82" t="s">
        <v>61</v>
      </c>
      <c r="B82" s="3">
        <f>$B$12*(1-B81)</f>
        <v>17500</v>
      </c>
    </row>
    <row r="83" spans="1:12">
      <c r="A83" s="4" t="s">
        <v>62</v>
      </c>
      <c r="B83" s="3">
        <f>-B82</f>
        <v>-17500</v>
      </c>
      <c r="C83" s="3">
        <f>$C$21</f>
        <v>128.84989473684436</v>
      </c>
      <c r="D83" s="3">
        <f>$D$21</f>
        <v>128.84989473684436</v>
      </c>
      <c r="E83" s="3">
        <f>$E$21</f>
        <v>128.84989473684436</v>
      </c>
      <c r="F83" s="3">
        <f>$F$21</f>
        <v>128.84989473684436</v>
      </c>
      <c r="G83" s="3">
        <f>$G$21</f>
        <v>-34871.150105263157</v>
      </c>
      <c r="H83" s="3">
        <f>$H$21</f>
        <v>128.84989473684436</v>
      </c>
      <c r="I83" s="3">
        <f>$I$21</f>
        <v>128.84989473684436</v>
      </c>
      <c r="J83" s="3">
        <f>$J$21</f>
        <v>128.84989473684436</v>
      </c>
      <c r="K83" s="3">
        <f>$K$21</f>
        <v>128.84989473684436</v>
      </c>
      <c r="L83" s="3">
        <f>$L$21</f>
        <v>128.84989473684436</v>
      </c>
    </row>
    <row r="84" spans="1:12">
      <c r="A84" s="4" t="s">
        <v>25</v>
      </c>
      <c r="B84" s="4" t="e">
        <f>IFERROR(IRR(B83:L83),NA())</f>
        <v>#N/A</v>
      </c>
    </row>
    <row r="86" spans="1:12">
      <c r="A86" t="s">
        <v>41</v>
      </c>
      <c r="B86" s="4">
        <v>0.7</v>
      </c>
    </row>
    <row r="87" spans="1:12">
      <c r="A87" t="s">
        <v>61</v>
      </c>
      <c r="B87" s="3">
        <f>$B$12*(1-B86)</f>
        <v>15000.000000000002</v>
      </c>
    </row>
    <row r="88" spans="1:12">
      <c r="A88" s="4" t="s">
        <v>62</v>
      </c>
      <c r="B88" s="3">
        <f>-B87</f>
        <v>-15000.000000000002</v>
      </c>
      <c r="C88" s="3">
        <f>$C$21</f>
        <v>128.84989473684436</v>
      </c>
      <c r="D88" s="3">
        <f>$D$21</f>
        <v>128.84989473684436</v>
      </c>
      <c r="E88" s="3">
        <f>$E$21</f>
        <v>128.84989473684436</v>
      </c>
      <c r="F88" s="3">
        <f>$F$21</f>
        <v>128.84989473684436</v>
      </c>
      <c r="G88" s="3">
        <f>$G$21</f>
        <v>-34871.150105263157</v>
      </c>
      <c r="H88" s="3">
        <f>$H$21</f>
        <v>128.84989473684436</v>
      </c>
      <c r="I88" s="3">
        <f>$I$21</f>
        <v>128.84989473684436</v>
      </c>
      <c r="J88" s="3">
        <f>$J$21</f>
        <v>128.84989473684436</v>
      </c>
      <c r="K88" s="3">
        <f>$K$21</f>
        <v>128.84989473684436</v>
      </c>
      <c r="L88" s="3">
        <f>$L$21</f>
        <v>128.84989473684436</v>
      </c>
    </row>
    <row r="89" spans="1:12">
      <c r="A89" s="4" t="s">
        <v>25</v>
      </c>
      <c r="B89" s="4" t="e">
        <f>IFERROR(IRR(B88:L88),NA())</f>
        <v>#N/A</v>
      </c>
    </row>
    <row r="91" spans="1:12">
      <c r="A91" t="s">
        <v>41</v>
      </c>
      <c r="B91" s="4">
        <v>0.75</v>
      </c>
    </row>
    <row r="92" spans="1:12">
      <c r="A92" t="s">
        <v>61</v>
      </c>
      <c r="B92" s="3">
        <f>$B$12*(1-B91)</f>
        <v>12500</v>
      </c>
    </row>
    <row r="93" spans="1:12">
      <c r="A93" s="4" t="s">
        <v>62</v>
      </c>
      <c r="B93" s="3">
        <f>-B92</f>
        <v>-12500</v>
      </c>
      <c r="C93" s="3">
        <f>$C$21</f>
        <v>128.84989473684436</v>
      </c>
      <c r="D93" s="3">
        <f>$D$21</f>
        <v>128.84989473684436</v>
      </c>
      <c r="E93" s="3">
        <f>$E$21</f>
        <v>128.84989473684436</v>
      </c>
      <c r="F93" s="3">
        <f>$F$21</f>
        <v>128.84989473684436</v>
      </c>
      <c r="G93" s="3">
        <f>$G$21</f>
        <v>-34871.150105263157</v>
      </c>
      <c r="H93" s="3">
        <f>$H$21</f>
        <v>128.84989473684436</v>
      </c>
      <c r="I93" s="3">
        <f>$I$21</f>
        <v>128.84989473684436</v>
      </c>
      <c r="J93" s="3">
        <f>$J$21</f>
        <v>128.84989473684436</v>
      </c>
      <c r="K93" s="3">
        <f>$K$21</f>
        <v>128.84989473684436</v>
      </c>
      <c r="L93" s="3">
        <f>$L$21</f>
        <v>128.84989473684436</v>
      </c>
    </row>
    <row r="94" spans="1:12">
      <c r="A94" s="4" t="s">
        <v>25</v>
      </c>
      <c r="B94" s="4" t="e">
        <f>IFERROR(IRR(B93:L93),NA())</f>
        <v>#N/A</v>
      </c>
    </row>
    <row r="96" spans="1:12">
      <c r="A96" t="s">
        <v>41</v>
      </c>
      <c r="B96" s="4">
        <v>0.8</v>
      </c>
    </row>
    <row r="97" spans="1:12">
      <c r="A97" t="s">
        <v>61</v>
      </c>
      <c r="B97" s="3">
        <f>$B$12*(1-B96)</f>
        <v>9999.9999999999982</v>
      </c>
    </row>
    <row r="98" spans="1:12">
      <c r="A98" s="4" t="s">
        <v>62</v>
      </c>
      <c r="B98" s="3">
        <f>-B97</f>
        <v>-9999.9999999999982</v>
      </c>
      <c r="C98" s="3">
        <f>$C$21</f>
        <v>128.84989473684436</v>
      </c>
      <c r="D98" s="3">
        <f>$D$21</f>
        <v>128.84989473684436</v>
      </c>
      <c r="E98" s="3">
        <f>$E$21</f>
        <v>128.84989473684436</v>
      </c>
      <c r="F98" s="3">
        <f>$F$21</f>
        <v>128.84989473684436</v>
      </c>
      <c r="G98" s="3">
        <f>$G$21</f>
        <v>-34871.150105263157</v>
      </c>
      <c r="H98" s="3">
        <f>$H$21</f>
        <v>128.84989473684436</v>
      </c>
      <c r="I98" s="3">
        <f>$I$21</f>
        <v>128.84989473684436</v>
      </c>
      <c r="J98" s="3">
        <f>$J$21</f>
        <v>128.84989473684436</v>
      </c>
      <c r="K98" s="3">
        <f>$K$21</f>
        <v>128.84989473684436</v>
      </c>
      <c r="L98" s="3">
        <f>$L$21</f>
        <v>128.84989473684436</v>
      </c>
    </row>
    <row r="99" spans="1:12">
      <c r="A99" s="4" t="s">
        <v>25</v>
      </c>
      <c r="B99" s="4" t="e">
        <f>IFERROR(IRR(B98:L98),NA())</f>
        <v>#N/A</v>
      </c>
    </row>
    <row r="101" spans="1:12">
      <c r="A101" t="s">
        <v>41</v>
      </c>
      <c r="B101" s="4">
        <v>0.85</v>
      </c>
    </row>
    <row r="102" spans="1:12">
      <c r="A102" t="s">
        <v>61</v>
      </c>
      <c r="B102" s="3">
        <f>$B$12*(1-B101)</f>
        <v>7500.0000000000009</v>
      </c>
    </row>
    <row r="103" spans="1:12">
      <c r="A103" s="4" t="s">
        <v>62</v>
      </c>
      <c r="B103" s="3">
        <f>-B102</f>
        <v>-7500.0000000000009</v>
      </c>
      <c r="C103" s="3">
        <f>$C$21</f>
        <v>128.84989473684436</v>
      </c>
      <c r="D103" s="3">
        <f>$D$21</f>
        <v>128.84989473684436</v>
      </c>
      <c r="E103" s="3">
        <f>$E$21</f>
        <v>128.84989473684436</v>
      </c>
      <c r="F103" s="3">
        <f>$F$21</f>
        <v>128.84989473684436</v>
      </c>
      <c r="G103" s="3">
        <f>$G$21</f>
        <v>-34871.150105263157</v>
      </c>
      <c r="H103" s="3">
        <f>$H$21</f>
        <v>128.84989473684436</v>
      </c>
      <c r="I103" s="3">
        <f>$I$21</f>
        <v>128.84989473684436</v>
      </c>
      <c r="J103" s="3">
        <f>$J$21</f>
        <v>128.84989473684436</v>
      </c>
      <c r="K103" s="3">
        <f>$K$21</f>
        <v>128.84989473684436</v>
      </c>
      <c r="L103" s="3">
        <f>$L$21</f>
        <v>128.84989473684436</v>
      </c>
    </row>
    <row r="104" spans="1:12">
      <c r="A104" s="4" t="s">
        <v>25</v>
      </c>
      <c r="B104" s="4" t="e">
        <f>IFERROR(IRR(B103:L103),NA())</f>
        <v>#N/A</v>
      </c>
    </row>
    <row r="106" spans="1:12">
      <c r="A106" t="s">
        <v>41</v>
      </c>
      <c r="B106" s="4">
        <v>0.9</v>
      </c>
    </row>
    <row r="107" spans="1:12">
      <c r="A107" t="s">
        <v>61</v>
      </c>
      <c r="B107" s="3">
        <f>$B$12*(1-B106)</f>
        <v>4999.9999999999991</v>
      </c>
    </row>
    <row r="108" spans="1:12">
      <c r="A108" s="4" t="s">
        <v>62</v>
      </c>
      <c r="B108" s="3">
        <f>-B107</f>
        <v>-4999.9999999999991</v>
      </c>
      <c r="C108" s="3">
        <f>$C$21</f>
        <v>128.84989473684436</v>
      </c>
      <c r="D108" s="3">
        <f>$D$21</f>
        <v>128.84989473684436</v>
      </c>
      <c r="E108" s="3">
        <f>$E$21</f>
        <v>128.84989473684436</v>
      </c>
      <c r="F108" s="3">
        <f>$F$21</f>
        <v>128.84989473684436</v>
      </c>
      <c r="G108" s="3">
        <f>$G$21</f>
        <v>-34871.150105263157</v>
      </c>
      <c r="H108" s="3">
        <f>$H$21</f>
        <v>128.84989473684436</v>
      </c>
      <c r="I108" s="3">
        <f>$I$21</f>
        <v>128.84989473684436</v>
      </c>
      <c r="J108" s="3">
        <f>$J$21</f>
        <v>128.84989473684436</v>
      </c>
      <c r="K108" s="3">
        <f>$K$21</f>
        <v>128.84989473684436</v>
      </c>
      <c r="L108" s="3">
        <f>$L$21</f>
        <v>128.84989473684436</v>
      </c>
    </row>
    <row r="109" spans="1:12">
      <c r="A109" s="4" t="s">
        <v>25</v>
      </c>
      <c r="B109" s="4" t="e">
        <f>IFERROR(IRR(B108:L108),NA())</f>
        <v>#N/A</v>
      </c>
    </row>
    <row r="111" spans="1:12">
      <c r="A111" t="s">
        <v>41</v>
      </c>
      <c r="B111" s="4">
        <v>0.95</v>
      </c>
    </row>
    <row r="112" spans="1:12">
      <c r="A112" t="s">
        <v>61</v>
      </c>
      <c r="B112" s="3">
        <f>$B$12*(1-B111)</f>
        <v>2500.0000000000023</v>
      </c>
    </row>
    <row r="113" spans="1:20">
      <c r="A113" s="4" t="s">
        <v>62</v>
      </c>
      <c r="B113" s="3">
        <f>-B112</f>
        <v>-2500.0000000000023</v>
      </c>
      <c r="C113" s="3">
        <f>$C$21</f>
        <v>128.84989473684436</v>
      </c>
      <c r="D113" s="3">
        <f>$D$21</f>
        <v>128.84989473684436</v>
      </c>
      <c r="E113" s="3">
        <f>$E$21</f>
        <v>128.84989473684436</v>
      </c>
      <c r="F113" s="3">
        <f>$F$21</f>
        <v>128.84989473684436</v>
      </c>
      <c r="G113" s="3">
        <f>$G$21</f>
        <v>-34871.150105263157</v>
      </c>
      <c r="H113" s="3">
        <f>$H$21</f>
        <v>128.84989473684436</v>
      </c>
      <c r="I113" s="3">
        <f>$I$21</f>
        <v>128.84989473684436</v>
      </c>
      <c r="J113" s="3">
        <f>$J$21</f>
        <v>128.84989473684436</v>
      </c>
      <c r="K113" s="3">
        <f>$K$21</f>
        <v>128.84989473684436</v>
      </c>
      <c r="L113" s="3">
        <f>$L$21</f>
        <v>128.84989473684436</v>
      </c>
    </row>
    <row r="114" spans="1:20">
      <c r="A114" s="4" t="s">
        <v>25</v>
      </c>
      <c r="B114" s="4" t="e">
        <f>IFERROR(IRR(B113:L113),NA())</f>
        <v>#N/A</v>
      </c>
    </row>
    <row r="116" spans="1:20">
      <c r="A116" t="s">
        <v>41</v>
      </c>
      <c r="B116" s="4">
        <v>1</v>
      </c>
    </row>
    <row r="117" spans="1:20">
      <c r="A117" t="s">
        <v>61</v>
      </c>
      <c r="B117" s="3">
        <f>$B$12*(1-B116)</f>
        <v>0</v>
      </c>
    </row>
    <row r="118" spans="1:20">
      <c r="A118" s="4" t="s">
        <v>62</v>
      </c>
      <c r="B118" s="3">
        <f>-B117</f>
        <v>0</v>
      </c>
      <c r="C118" s="3">
        <f>$C$21</f>
        <v>128.84989473684436</v>
      </c>
      <c r="D118" s="3">
        <f>$D$21</f>
        <v>128.84989473684436</v>
      </c>
      <c r="E118" s="3">
        <f>$E$21</f>
        <v>128.84989473684436</v>
      </c>
      <c r="F118" s="3">
        <f>$F$21</f>
        <v>128.84989473684436</v>
      </c>
      <c r="G118" s="3">
        <f>$G$21</f>
        <v>-34871.150105263157</v>
      </c>
      <c r="H118" s="3">
        <f>$H$21</f>
        <v>128.84989473684436</v>
      </c>
      <c r="I118" s="3">
        <f>$I$21</f>
        <v>128.84989473684436</v>
      </c>
      <c r="J118" s="3">
        <f>$J$21</f>
        <v>128.84989473684436</v>
      </c>
      <c r="K118" s="3">
        <f>$K$21</f>
        <v>128.84989473684436</v>
      </c>
      <c r="L118" s="3">
        <f>$L$21</f>
        <v>128.84989473684436</v>
      </c>
    </row>
    <row r="119" spans="1:20">
      <c r="A119" s="4" t="s">
        <v>25</v>
      </c>
      <c r="B119" s="4">
        <f>IFERROR(IRR(B118:L118),NA())</f>
        <v>2.757512666636956</v>
      </c>
    </row>
    <row r="122" spans="1:20">
      <c r="A122" t="s">
        <v>63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 t="e">
        <f>B29</f>
        <v>#N/A</v>
      </c>
      <c r="C124" s="4" t="e">
        <f>B34</f>
        <v>#N/A</v>
      </c>
      <c r="D124" s="4" t="e">
        <f>B39</f>
        <v>#N/A</v>
      </c>
      <c r="E124" s="4" t="e">
        <f>B44</f>
        <v>#N/A</v>
      </c>
      <c r="F124" s="4" t="e">
        <f>B49</f>
        <v>#N/A</v>
      </c>
      <c r="G124" s="4" t="e">
        <f>B54</f>
        <v>#N/A</v>
      </c>
      <c r="H124" s="4" t="e">
        <f>B59</f>
        <v>#N/A</v>
      </c>
      <c r="I124" s="4" t="e">
        <f>B64</f>
        <v>#N/A</v>
      </c>
      <c r="J124" s="4" t="e">
        <f>B69</f>
        <v>#N/A</v>
      </c>
      <c r="K124" s="4" t="e">
        <f>B74</f>
        <v>#N/A</v>
      </c>
      <c r="L124" s="4" t="e">
        <f>B79</f>
        <v>#N/A</v>
      </c>
      <c r="M124" s="4" t="e">
        <f>B84</f>
        <v>#N/A</v>
      </c>
      <c r="N124" s="4" t="e">
        <f>B89</f>
        <v>#N/A</v>
      </c>
      <c r="O124" s="4" t="e">
        <f>B94</f>
        <v>#N/A</v>
      </c>
      <c r="P124" s="4" t="e">
        <f>B99</f>
        <v>#N/A</v>
      </c>
      <c r="Q124" s="4" t="e">
        <f>B104</f>
        <v>#N/A</v>
      </c>
      <c r="R124" s="4" t="e">
        <f>B109</f>
        <v>#N/A</v>
      </c>
      <c r="S124" s="4" t="e">
        <f>B114</f>
        <v>#N/A</v>
      </c>
      <c r="T124" s="4">
        <f>B119</f>
        <v>2.757512666636956</v>
      </c>
    </row>
    <row r="125" spans="1:20">
      <c r="A125" t="s">
        <v>64</v>
      </c>
      <c r="B125" s="4" t="e">
        <f>LOOKUP('IRR inputs &amp; outputs'!B18, B124:P124, B123:P123)</f>
        <v>#N/A</v>
      </c>
    </row>
    <row r="126" spans="1:20">
      <c r="A126" t="s">
        <v>65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C9ED6-83C6-47C5-884A-6CECA802904F}">
  <dimension ref="A1:T126"/>
  <sheetViews>
    <sheetView workbookViewId="0">
      <selection activeCell="A17" sqref="A17:L18"/>
    </sheetView>
  </sheetViews>
  <sheetFormatPr defaultRowHeight="14.25"/>
  <cols>
    <col min="1" max="1" width="14.7109375" bestFit="1" customWidth="1"/>
    <col min="6" max="6" width="10.28515625" bestFit="1" customWidth="1"/>
  </cols>
  <sheetData>
    <row r="1" spans="1:15">
      <c r="A1" s="1" t="s">
        <v>24</v>
      </c>
      <c r="B1" s="28">
        <v>7.4999999999999997E-2</v>
      </c>
    </row>
    <row r="2" spans="1:15">
      <c r="A2" t="s">
        <v>44</v>
      </c>
      <c r="B2">
        <f>24*365</f>
        <v>8760</v>
      </c>
    </row>
    <row r="3" spans="1:15">
      <c r="A3" t="s">
        <v>45</v>
      </c>
      <c r="B3">
        <f>B2*B1*'IRR inputs &amp; outputs'!B2*'IRR inputs &amp; outputs'!B3*'IRR inputs &amp; outputs'!$B$7</f>
        <v>32587.200000000001</v>
      </c>
      <c r="C3" t="s">
        <v>46</v>
      </c>
    </row>
    <row r="5" spans="1:15">
      <c r="A5" s="1" t="s">
        <v>47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48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49</v>
      </c>
      <c r="B7" s="2"/>
      <c r="C7" s="2">
        <f>$B$3*'IRR inputs &amp; outputs'!$B$13</f>
        <v>17922.960000000003</v>
      </c>
      <c r="D7" s="2">
        <f>$B$3*'IRR inputs &amp; outputs'!$B$13</f>
        <v>17922.960000000003</v>
      </c>
      <c r="E7" s="2">
        <f>$B$3*'IRR inputs &amp; outputs'!$B$13</f>
        <v>17922.960000000003</v>
      </c>
      <c r="F7" s="2">
        <f>$B$3*'IRR inputs &amp; outputs'!$B$13</f>
        <v>17922.960000000003</v>
      </c>
      <c r="G7" s="2">
        <f>$B$3*'IRR inputs &amp; outputs'!$B$13</f>
        <v>17922.960000000003</v>
      </c>
      <c r="H7" s="2">
        <f>$B$3*'IRR inputs &amp; outputs'!$B$13</f>
        <v>17922.960000000003</v>
      </c>
      <c r="I7" s="2">
        <f>$B$3*'IRR inputs &amp; outputs'!$B$13</f>
        <v>17922.960000000003</v>
      </c>
      <c r="J7" s="2">
        <f>$B$3*'IRR inputs &amp; outputs'!$B$13</f>
        <v>17922.960000000003</v>
      </c>
      <c r="K7" s="2">
        <f>$B$3*'IRR inputs &amp; outputs'!$B$13</f>
        <v>17922.960000000003</v>
      </c>
      <c r="L7" s="2">
        <f>$B$3*'IRR inputs &amp; outputs'!$B$13</f>
        <v>17922.960000000003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50</v>
      </c>
      <c r="B9" s="2"/>
      <c r="C9" s="2">
        <f t="shared" ref="C9:L9" si="0">SUM(C7:C8)</f>
        <v>17922.960000000003</v>
      </c>
      <c r="D9" s="2">
        <f t="shared" si="0"/>
        <v>17922.960000000003</v>
      </c>
      <c r="E9" s="2">
        <f t="shared" si="0"/>
        <v>17922.960000000003</v>
      </c>
      <c r="F9" s="2">
        <f t="shared" si="0"/>
        <v>17922.960000000003</v>
      </c>
      <c r="G9" s="2">
        <f t="shared" si="0"/>
        <v>17922.960000000003</v>
      </c>
      <c r="H9" s="2">
        <f t="shared" si="0"/>
        <v>17922.960000000003</v>
      </c>
      <c r="I9" s="2">
        <f t="shared" si="0"/>
        <v>17922.960000000003</v>
      </c>
      <c r="J9" s="2">
        <f t="shared" si="0"/>
        <v>17922.960000000003</v>
      </c>
      <c r="K9" s="2">
        <f t="shared" si="0"/>
        <v>17922.960000000003</v>
      </c>
      <c r="L9" s="2">
        <f t="shared" si="0"/>
        <v>17922.960000000003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51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50000</v>
      </c>
      <c r="C12" s="2"/>
      <c r="D12" s="2"/>
      <c r="E12" s="2"/>
      <c r="F12" s="2"/>
      <c r="G12" s="2">
        <f>'IRR inputs &amp; outputs'!B15</f>
        <v>35000</v>
      </c>
      <c r="H12" s="2"/>
      <c r="I12" s="2"/>
      <c r="J12" s="2"/>
      <c r="K12" s="2"/>
      <c r="L12" s="2"/>
    </row>
    <row r="13" spans="1:15">
      <c r="A13" t="s">
        <v>52</v>
      </c>
      <c r="B13" s="2">
        <f>'IRR inputs &amp; outputs'!B16</f>
        <v>1000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53</v>
      </c>
      <c r="B14" s="2"/>
      <c r="C14" s="2">
        <f>'IRR inputs &amp; outputs'!$B$17</f>
        <v>5000</v>
      </c>
      <c r="D14" s="2">
        <f>'IRR inputs &amp; outputs'!$B$17</f>
        <v>5000</v>
      </c>
      <c r="E14" s="2">
        <f>'IRR inputs &amp; outputs'!$B$17</f>
        <v>5000</v>
      </c>
      <c r="F14" s="2">
        <f>'IRR inputs &amp; outputs'!$B$17</f>
        <v>5000</v>
      </c>
      <c r="G14" s="2">
        <f>'IRR inputs &amp; outputs'!$B$17</f>
        <v>5000</v>
      </c>
      <c r="H14" s="2">
        <f>'IRR inputs &amp; outputs'!$B$17</f>
        <v>5000</v>
      </c>
      <c r="I14" s="2">
        <f>'IRR inputs &amp; outputs'!$B$17</f>
        <v>5000</v>
      </c>
      <c r="J14" s="2">
        <f>'IRR inputs &amp; outputs'!$B$17</f>
        <v>5000</v>
      </c>
      <c r="K14" s="2">
        <f>'IRR inputs &amp; outputs'!$B$17</f>
        <v>5000</v>
      </c>
      <c r="L14" s="2">
        <f>'IRR inputs &amp; outputs'!$B$17</f>
        <v>5000</v>
      </c>
    </row>
    <row r="15" spans="1:15">
      <c r="A15" t="s">
        <v>54</v>
      </c>
      <c r="B15" s="2"/>
      <c r="C15" s="2">
        <f>'IRR inputs &amp; outputs'!B14</f>
        <v>750</v>
      </c>
      <c r="D15" s="2">
        <f>'IRR inputs &amp; outputs'!B14</f>
        <v>750</v>
      </c>
      <c r="E15" s="2">
        <f>'IRR inputs &amp; outputs'!B14</f>
        <v>750</v>
      </c>
      <c r="F15" s="2">
        <f>'IRR inputs &amp; outputs'!B14</f>
        <v>750</v>
      </c>
      <c r="G15" s="2">
        <f>'IRR inputs &amp; outputs'!B14</f>
        <v>750</v>
      </c>
      <c r="H15" s="2">
        <f>'IRR inputs &amp; outputs'!B14</f>
        <v>750</v>
      </c>
      <c r="I15" s="2">
        <f>'IRR inputs &amp; outputs'!B14</f>
        <v>750</v>
      </c>
      <c r="J15" s="2">
        <f>'IRR inputs &amp; outputs'!B14</f>
        <v>750</v>
      </c>
      <c r="K15" s="2">
        <f>'IRR inputs &amp; outputs'!B14</f>
        <v>750</v>
      </c>
      <c r="L15" s="2">
        <f>'IRR inputs &amp; outputs'!B14</f>
        <v>750</v>
      </c>
    </row>
    <row r="16" spans="1:15">
      <c r="A16" t="s">
        <v>55</v>
      </c>
      <c r="B16" s="2"/>
      <c r="C16" s="2">
        <f>(1/'IRR inputs &amp; outputs'!$B$8)*$B$3*'IRR inputs &amp; outputs'!$B$9+'IRR inputs &amp; outputs'!$B$10</f>
        <v>6860.4631578947365</v>
      </c>
      <c r="D16" s="2">
        <f>(1/'IRR inputs &amp; outputs'!$B$8)*$B$3*'IRR inputs &amp; outputs'!$B$9+'IRR inputs &amp; outputs'!$B$10</f>
        <v>6860.4631578947365</v>
      </c>
      <c r="E16" s="2">
        <f>(1/'IRR inputs &amp; outputs'!$B$8)*$B$3*'IRR inputs &amp; outputs'!$B$9+'IRR inputs &amp; outputs'!$B$10</f>
        <v>6860.4631578947365</v>
      </c>
      <c r="F16" s="2">
        <f>(1/'IRR inputs &amp; outputs'!$B$8)*$B$3*'IRR inputs &amp; outputs'!$B$9+'IRR inputs &amp; outputs'!$B$10</f>
        <v>6860.4631578947365</v>
      </c>
      <c r="G16" s="2">
        <f>(1/'IRR inputs &amp; outputs'!$B$8)*$B$3*'IRR inputs &amp; outputs'!$B$9+'IRR inputs &amp; outputs'!$B$10</f>
        <v>6860.4631578947365</v>
      </c>
      <c r="H16" s="2">
        <f>(1/'IRR inputs &amp; outputs'!$B$8)*$B$3*'IRR inputs &amp; outputs'!$B$9+'IRR inputs &amp; outputs'!$B$10</f>
        <v>6860.4631578947365</v>
      </c>
      <c r="I16" s="2">
        <f>(1/'IRR inputs &amp; outputs'!$B$8)*$B$3*'IRR inputs &amp; outputs'!$B$9+'IRR inputs &amp; outputs'!$B$10</f>
        <v>6860.4631578947365</v>
      </c>
      <c r="J16" s="2">
        <f>(1/'IRR inputs &amp; outputs'!$B$8)*$B$3*'IRR inputs &amp; outputs'!$B$9+'IRR inputs &amp; outputs'!$B$10</f>
        <v>6860.4631578947365</v>
      </c>
      <c r="K16" s="2">
        <f>(1/'IRR inputs &amp; outputs'!$B$8)*$B$3*'IRR inputs &amp; outputs'!$B$9+'IRR inputs &amp; outputs'!$B$10</f>
        <v>6860.4631578947365</v>
      </c>
      <c r="L16" s="2">
        <f>(1/'IRR inputs &amp; outputs'!$B$8)*$B$3*'IRR inputs &amp; outputs'!$B$9+'IRR inputs &amp; outputs'!$B$10</f>
        <v>6860.4631578947365</v>
      </c>
    </row>
    <row r="17" spans="1:12">
      <c r="A17" t="s">
        <v>56</v>
      </c>
      <c r="B17" s="2"/>
      <c r="C17" s="46">
        <f>'IRR inputs &amp; outputs'!$B$12</f>
        <v>600</v>
      </c>
      <c r="D17" s="2">
        <f>'IRR inputs &amp; outputs'!$B$12</f>
        <v>600</v>
      </c>
      <c r="E17" s="2">
        <f>'IRR inputs &amp; outputs'!$B$12</f>
        <v>600</v>
      </c>
      <c r="F17" s="2">
        <f>'IRR inputs &amp; outputs'!$B$12</f>
        <v>600</v>
      </c>
      <c r="G17" s="2">
        <f>'IRR inputs &amp; outputs'!$B$12</f>
        <v>600</v>
      </c>
      <c r="H17" s="2">
        <f>'IRR inputs &amp; outputs'!$B$12</f>
        <v>600</v>
      </c>
      <c r="I17" s="2">
        <f>'IRR inputs &amp; outputs'!$B$12</f>
        <v>600</v>
      </c>
      <c r="J17" s="2">
        <f>'IRR inputs &amp; outputs'!$B$12</f>
        <v>600</v>
      </c>
      <c r="K17" s="2">
        <f>'IRR inputs &amp; outputs'!$B$12</f>
        <v>600</v>
      </c>
      <c r="L17" s="2">
        <f>'IRR inputs &amp; outputs'!$B$12</f>
        <v>600</v>
      </c>
    </row>
    <row r="18" spans="1:12">
      <c r="A18" t="s">
        <v>57</v>
      </c>
      <c r="B18" s="2"/>
      <c r="C18" s="2">
        <f>$B$3*'IRR inputs &amp; outputs'!$B$11*'IRR inputs &amp; outputs'!$B$13</f>
        <v>1344.222</v>
      </c>
      <c r="D18" s="2">
        <f>$B$3*'IRR inputs &amp; outputs'!$B$11*'IRR inputs &amp; outputs'!$B$13</f>
        <v>1344.222</v>
      </c>
      <c r="E18" s="2">
        <f>$B$3*'IRR inputs &amp; outputs'!$B$11*'IRR inputs &amp; outputs'!$B$13</f>
        <v>1344.222</v>
      </c>
      <c r="F18" s="2">
        <f>$B$3*'IRR inputs &amp; outputs'!$B$11*'IRR inputs &amp; outputs'!$B$13</f>
        <v>1344.222</v>
      </c>
      <c r="G18" s="2">
        <f>$B$3*'IRR inputs &amp; outputs'!$B$11*'IRR inputs &amp; outputs'!$B$13</f>
        <v>1344.222</v>
      </c>
      <c r="H18" s="2">
        <f>$B$3*'IRR inputs &amp; outputs'!$B$11*'IRR inputs &amp; outputs'!$B$13</f>
        <v>1344.222</v>
      </c>
      <c r="I18" s="2">
        <f>$B$3*'IRR inputs &amp; outputs'!$B$11*'IRR inputs &amp; outputs'!$B$13</f>
        <v>1344.222</v>
      </c>
      <c r="J18" s="2">
        <f>$B$3*'IRR inputs &amp; outputs'!$B$11*'IRR inputs &amp; outputs'!$B$13</f>
        <v>1344.222</v>
      </c>
      <c r="K18" s="2">
        <f>$B$3*'IRR inputs &amp; outputs'!$B$11*'IRR inputs &amp; outputs'!$B$13</f>
        <v>1344.222</v>
      </c>
      <c r="L18" s="2">
        <f>$B$3*'IRR inputs &amp; outputs'!$B$11*'IRR inputs &amp; outputs'!$B$13</f>
        <v>1344.222</v>
      </c>
    </row>
    <row r="19" spans="1:12">
      <c r="A19" t="s">
        <v>58</v>
      </c>
      <c r="B19" s="3">
        <f t="shared" ref="B19:L19" si="1">SUM(B12:B18)</f>
        <v>51000</v>
      </c>
      <c r="C19" s="3">
        <f t="shared" si="1"/>
        <v>14554.685157894737</v>
      </c>
      <c r="D19" s="3">
        <f t="shared" si="1"/>
        <v>14554.685157894737</v>
      </c>
      <c r="E19" s="3">
        <f t="shared" si="1"/>
        <v>14554.685157894737</v>
      </c>
      <c r="F19" s="3">
        <f t="shared" si="1"/>
        <v>14554.685157894737</v>
      </c>
      <c r="G19" s="3">
        <f t="shared" si="1"/>
        <v>49554.685157894739</v>
      </c>
      <c r="H19" s="3">
        <f t="shared" si="1"/>
        <v>14554.685157894737</v>
      </c>
      <c r="I19" s="3">
        <f t="shared" si="1"/>
        <v>14554.685157894737</v>
      </c>
      <c r="J19" s="3">
        <f t="shared" si="1"/>
        <v>14554.685157894737</v>
      </c>
      <c r="K19" s="3">
        <f t="shared" si="1"/>
        <v>14554.685157894737</v>
      </c>
      <c r="L19" s="3">
        <f t="shared" si="1"/>
        <v>14554.685157894737</v>
      </c>
    </row>
    <row r="21" spans="1:12">
      <c r="A21" t="s">
        <v>59</v>
      </c>
      <c r="B21" s="3">
        <f t="shared" ref="B21:L21" si="2">B9-B19</f>
        <v>-51000</v>
      </c>
      <c r="C21" s="3">
        <f t="shared" si="2"/>
        <v>3368.2748421052656</v>
      </c>
      <c r="D21" s="3">
        <f t="shared" si="2"/>
        <v>3368.2748421052656</v>
      </c>
      <c r="E21" s="3">
        <f t="shared" si="2"/>
        <v>3368.2748421052656</v>
      </c>
      <c r="F21" s="3">
        <f t="shared" si="2"/>
        <v>3368.2748421052656</v>
      </c>
      <c r="G21" s="3">
        <f t="shared" si="2"/>
        <v>-31631.725157894736</v>
      </c>
      <c r="H21" s="3">
        <f t="shared" si="2"/>
        <v>3368.2748421052656</v>
      </c>
      <c r="I21" s="3">
        <f t="shared" si="2"/>
        <v>3368.2748421052656</v>
      </c>
      <c r="J21" s="3">
        <f t="shared" si="2"/>
        <v>3368.2748421052656</v>
      </c>
      <c r="K21" s="3">
        <f t="shared" si="2"/>
        <v>3368.2748421052656</v>
      </c>
      <c r="L21" s="3">
        <f t="shared" si="2"/>
        <v>3368.2748421052656</v>
      </c>
    </row>
    <row r="23" spans="1:12">
      <c r="A23" t="s">
        <v>25</v>
      </c>
      <c r="B23" s="4">
        <f>IFERROR(IRR(B21:L21),NA())</f>
        <v>-0.22458895903526999</v>
      </c>
    </row>
    <row r="25" spans="1:12">
      <c r="A25" s="1" t="s">
        <v>60</v>
      </c>
    </row>
    <row r="26" spans="1:12">
      <c r="A26" t="s">
        <v>41</v>
      </c>
      <c r="B26" s="4">
        <v>0.1</v>
      </c>
    </row>
    <row r="27" spans="1:12">
      <c r="A27" t="s">
        <v>61</v>
      </c>
      <c r="B27" s="3">
        <f>$B$12*(1-B26)</f>
        <v>45000</v>
      </c>
    </row>
    <row r="28" spans="1:12">
      <c r="A28" s="4" t="s">
        <v>62</v>
      </c>
      <c r="B28" s="3">
        <f>-B27</f>
        <v>-45000</v>
      </c>
      <c r="C28" s="3">
        <f>$C$21</f>
        <v>3368.2748421052656</v>
      </c>
      <c r="D28" s="3">
        <f>$D$21</f>
        <v>3368.2748421052656</v>
      </c>
      <c r="E28" s="3">
        <f>$E$21</f>
        <v>3368.2748421052656</v>
      </c>
      <c r="F28" s="3">
        <f>$F$21</f>
        <v>3368.2748421052656</v>
      </c>
      <c r="G28" s="3">
        <f>$G$21</f>
        <v>-31631.725157894736</v>
      </c>
      <c r="H28" s="3">
        <f>$H$21</f>
        <v>3368.2748421052656</v>
      </c>
      <c r="I28" s="3">
        <f>$I$21</f>
        <v>3368.2748421052656</v>
      </c>
      <c r="J28" s="3">
        <f>$J$21</f>
        <v>3368.2748421052656</v>
      </c>
      <c r="K28" s="3">
        <f>$K$21</f>
        <v>3368.2748421052656</v>
      </c>
      <c r="L28" s="3">
        <f>$L$21</f>
        <v>3368.2748421052656</v>
      </c>
    </row>
    <row r="29" spans="1:12">
      <c r="A29" s="4" t="s">
        <v>25</v>
      </c>
      <c r="B29" s="4">
        <f>IFERROR(IRR(B28:L28),NA())</f>
        <v>-0.21731720087633122</v>
      </c>
    </row>
    <row r="30" spans="1:12">
      <c r="A30" s="4"/>
      <c r="B30" s="3"/>
    </row>
    <row r="31" spans="1:12">
      <c r="A31" t="s">
        <v>41</v>
      </c>
      <c r="B31" s="4">
        <v>0.15</v>
      </c>
    </row>
    <row r="32" spans="1:12">
      <c r="A32" t="s">
        <v>61</v>
      </c>
      <c r="B32" s="3">
        <f>$B$12*(1-B31)</f>
        <v>42500</v>
      </c>
    </row>
    <row r="33" spans="1:12">
      <c r="A33" s="4" t="s">
        <v>62</v>
      </c>
      <c r="B33" s="3">
        <f>-B32</f>
        <v>-42500</v>
      </c>
      <c r="C33" s="3">
        <f>$C$21</f>
        <v>3368.2748421052656</v>
      </c>
      <c r="D33" s="3">
        <f>$D$21</f>
        <v>3368.2748421052656</v>
      </c>
      <c r="E33" s="3">
        <f>$E$21</f>
        <v>3368.2748421052656</v>
      </c>
      <c r="F33" s="3">
        <f>$F$21</f>
        <v>3368.2748421052656</v>
      </c>
      <c r="G33" s="3">
        <f>$G$21</f>
        <v>-31631.725157894736</v>
      </c>
      <c r="H33" s="3">
        <f>$H$21</f>
        <v>3368.2748421052656</v>
      </c>
      <c r="I33" s="3">
        <f>$I$21</f>
        <v>3368.2748421052656</v>
      </c>
      <c r="J33" s="3">
        <f>$J$21</f>
        <v>3368.2748421052656</v>
      </c>
      <c r="K33" s="3">
        <f>$K$21</f>
        <v>3368.2748421052656</v>
      </c>
      <c r="L33" s="3">
        <f>$L$21</f>
        <v>3368.2748421052656</v>
      </c>
    </row>
    <row r="34" spans="1:12">
      <c r="A34" s="4" t="s">
        <v>25</v>
      </c>
      <c r="B34" s="4">
        <f>IFERROR(IRR(B33:L33),NA())</f>
        <v>-0.21402329863664105</v>
      </c>
    </row>
    <row r="35" spans="1:12">
      <c r="A35" s="4"/>
      <c r="B35" s="3"/>
    </row>
    <row r="36" spans="1:12">
      <c r="A36" t="s">
        <v>41</v>
      </c>
      <c r="B36" s="4">
        <v>0.2</v>
      </c>
    </row>
    <row r="37" spans="1:12">
      <c r="A37" t="s">
        <v>61</v>
      </c>
      <c r="B37" s="3">
        <f>$B$12*(1-B36)</f>
        <v>40000</v>
      </c>
    </row>
    <row r="38" spans="1:12">
      <c r="A38" s="4" t="s">
        <v>62</v>
      </c>
      <c r="B38" s="3">
        <f>-B37</f>
        <v>-40000</v>
      </c>
      <c r="C38" s="3">
        <f>$C$21</f>
        <v>3368.2748421052656</v>
      </c>
      <c r="D38" s="3">
        <f>$D$21</f>
        <v>3368.2748421052656</v>
      </c>
      <c r="E38" s="3">
        <f>$E$21</f>
        <v>3368.2748421052656</v>
      </c>
      <c r="F38" s="3">
        <f>$F$21</f>
        <v>3368.2748421052656</v>
      </c>
      <c r="G38" s="3">
        <f>$G$21</f>
        <v>-31631.725157894736</v>
      </c>
      <c r="H38" s="3">
        <f>$H$21</f>
        <v>3368.2748421052656</v>
      </c>
      <c r="I38" s="3">
        <f>$I$21</f>
        <v>3368.2748421052656</v>
      </c>
      <c r="J38" s="3">
        <f>$J$21</f>
        <v>3368.2748421052656</v>
      </c>
      <c r="K38" s="3">
        <f>$K$21</f>
        <v>3368.2748421052656</v>
      </c>
      <c r="L38" s="3">
        <f>$L$21</f>
        <v>3368.2748421052656</v>
      </c>
    </row>
    <row r="39" spans="1:12">
      <c r="A39" s="4" t="s">
        <v>25</v>
      </c>
      <c r="B39" s="4">
        <f>IFERROR(IRR(B38:L38),NA())</f>
        <v>-0.21054932488985489</v>
      </c>
    </row>
    <row r="41" spans="1:12">
      <c r="A41" t="s">
        <v>41</v>
      </c>
      <c r="B41" s="4">
        <v>0.25</v>
      </c>
    </row>
    <row r="42" spans="1:12">
      <c r="A42" t="s">
        <v>61</v>
      </c>
      <c r="B42" s="3">
        <f>$B$12*(1-B41)</f>
        <v>37500</v>
      </c>
    </row>
    <row r="43" spans="1:12">
      <c r="A43" s="4" t="s">
        <v>62</v>
      </c>
      <c r="B43" s="3">
        <f>-B42</f>
        <v>-37500</v>
      </c>
      <c r="C43" s="3">
        <f>$C$21</f>
        <v>3368.2748421052656</v>
      </c>
      <c r="D43" s="3">
        <f>$D$21</f>
        <v>3368.2748421052656</v>
      </c>
      <c r="E43" s="3">
        <f>$E$21</f>
        <v>3368.2748421052656</v>
      </c>
      <c r="F43" s="3">
        <f>$F$21</f>
        <v>3368.2748421052656</v>
      </c>
      <c r="G43" s="3">
        <f>$G$21</f>
        <v>-31631.725157894736</v>
      </c>
      <c r="H43" s="3">
        <f>$H$21</f>
        <v>3368.2748421052656</v>
      </c>
      <c r="I43" s="3">
        <f>$I$21</f>
        <v>3368.2748421052656</v>
      </c>
      <c r="J43" s="3">
        <f>$J$21</f>
        <v>3368.2748421052656</v>
      </c>
      <c r="K43" s="3">
        <f>$K$21</f>
        <v>3368.2748421052656</v>
      </c>
      <c r="L43" s="3">
        <f>$L$21</f>
        <v>3368.2748421052656</v>
      </c>
    </row>
    <row r="44" spans="1:12">
      <c r="A44" s="4" t="s">
        <v>25</v>
      </c>
      <c r="B44" s="4">
        <f>IFERROR(IRR(B43:L43),NA())</f>
        <v>-0.20687440172895755</v>
      </c>
    </row>
    <row r="46" spans="1:12">
      <c r="A46" t="s">
        <v>41</v>
      </c>
      <c r="B46" s="4">
        <v>0.3</v>
      </c>
    </row>
    <row r="47" spans="1:12">
      <c r="A47" t="s">
        <v>61</v>
      </c>
      <c r="B47" s="3">
        <f>$B$12*(1-B46)</f>
        <v>35000</v>
      </c>
    </row>
    <row r="48" spans="1:12">
      <c r="A48" s="4" t="s">
        <v>62</v>
      </c>
      <c r="B48" s="3">
        <f>-B47</f>
        <v>-35000</v>
      </c>
      <c r="C48" s="3">
        <f>$C$21</f>
        <v>3368.2748421052656</v>
      </c>
      <c r="D48" s="3">
        <f>$D$21</f>
        <v>3368.2748421052656</v>
      </c>
      <c r="E48" s="3">
        <f>$E$21</f>
        <v>3368.2748421052656</v>
      </c>
      <c r="F48" s="3">
        <f>$F$21</f>
        <v>3368.2748421052656</v>
      </c>
      <c r="G48" s="3">
        <f>$G$21</f>
        <v>-31631.725157894736</v>
      </c>
      <c r="H48" s="3">
        <f>$H$21</f>
        <v>3368.2748421052656</v>
      </c>
      <c r="I48" s="3">
        <f>$I$21</f>
        <v>3368.2748421052656</v>
      </c>
      <c r="J48" s="3">
        <f>$J$21</f>
        <v>3368.2748421052656</v>
      </c>
      <c r="K48" s="3">
        <f>$K$21</f>
        <v>3368.2748421052656</v>
      </c>
      <c r="L48" s="3">
        <f>$L$21</f>
        <v>3368.2748421052656</v>
      </c>
    </row>
    <row r="49" spans="1:12">
      <c r="A49" s="4" t="s">
        <v>25</v>
      </c>
      <c r="B49" s="4">
        <f>IFERROR(IRR(B48:L48),NA())</f>
        <v>-0.20297375396383244</v>
      </c>
    </row>
    <row r="51" spans="1:12">
      <c r="A51" t="s">
        <v>41</v>
      </c>
      <c r="B51" s="4">
        <v>0.35</v>
      </c>
    </row>
    <row r="52" spans="1:12">
      <c r="A52" t="s">
        <v>61</v>
      </c>
      <c r="B52" s="3">
        <f>$B$12*(1-B51)</f>
        <v>32500</v>
      </c>
    </row>
    <row r="53" spans="1:12">
      <c r="A53" s="4" t="s">
        <v>62</v>
      </c>
      <c r="B53" s="3">
        <f>-B52</f>
        <v>-32500</v>
      </c>
      <c r="C53" s="3">
        <f>$C$21</f>
        <v>3368.2748421052656</v>
      </c>
      <c r="D53" s="3">
        <f>$D$21</f>
        <v>3368.2748421052656</v>
      </c>
      <c r="E53" s="3">
        <f>$E$21</f>
        <v>3368.2748421052656</v>
      </c>
      <c r="F53" s="3">
        <f>$F$21</f>
        <v>3368.2748421052656</v>
      </c>
      <c r="G53" s="3">
        <f>$G$21</f>
        <v>-31631.725157894736</v>
      </c>
      <c r="H53" s="3">
        <f>$H$21</f>
        <v>3368.2748421052656</v>
      </c>
      <c r="I53" s="3">
        <f>$I$21</f>
        <v>3368.2748421052656</v>
      </c>
      <c r="J53" s="3">
        <f>$J$21</f>
        <v>3368.2748421052656</v>
      </c>
      <c r="K53" s="3">
        <f>$K$21</f>
        <v>3368.2748421052656</v>
      </c>
      <c r="L53" s="3">
        <f>$L$21</f>
        <v>3368.2748421052656</v>
      </c>
    </row>
    <row r="54" spans="1:12">
      <c r="A54" s="4" t="s">
        <v>25</v>
      </c>
      <c r="B54" s="4">
        <f>IFERROR(IRR(B53:L53),NA())</f>
        <v>-0.19881766431751124</v>
      </c>
    </row>
    <row r="56" spans="1:12">
      <c r="A56" t="s">
        <v>41</v>
      </c>
      <c r="B56" s="4">
        <v>0.4</v>
      </c>
    </row>
    <row r="57" spans="1:12">
      <c r="A57" t="s">
        <v>61</v>
      </c>
      <c r="B57" s="3">
        <f>$B$12*(1-B56)</f>
        <v>30000</v>
      </c>
    </row>
    <row r="58" spans="1:12">
      <c r="A58" s="4" t="s">
        <v>62</v>
      </c>
      <c r="B58" s="3">
        <f>-B57</f>
        <v>-30000</v>
      </c>
      <c r="C58" s="3">
        <f>$C$21</f>
        <v>3368.2748421052656</v>
      </c>
      <c r="D58" s="3">
        <f>$D$21</f>
        <v>3368.2748421052656</v>
      </c>
      <c r="E58" s="3">
        <f>$E$21</f>
        <v>3368.2748421052656</v>
      </c>
      <c r="F58" s="3">
        <f>$F$21</f>
        <v>3368.2748421052656</v>
      </c>
      <c r="G58" s="3">
        <f>$G$21</f>
        <v>-31631.725157894736</v>
      </c>
      <c r="H58" s="3">
        <f>$H$21</f>
        <v>3368.2748421052656</v>
      </c>
      <c r="I58" s="3">
        <f>$I$21</f>
        <v>3368.2748421052656</v>
      </c>
      <c r="J58" s="3">
        <f>$J$21</f>
        <v>3368.2748421052656</v>
      </c>
      <c r="K58" s="3">
        <f>$K$21</f>
        <v>3368.2748421052656</v>
      </c>
      <c r="L58" s="3">
        <f>$L$21</f>
        <v>3368.2748421052656</v>
      </c>
    </row>
    <row r="59" spans="1:12">
      <c r="A59" s="4" t="s">
        <v>25</v>
      </c>
      <c r="B59" s="4">
        <f>IFERROR(IRR(B58:L58),NA())</f>
        <v>-0.19437005005959562</v>
      </c>
    </row>
    <row r="61" spans="1:12">
      <c r="A61" t="s">
        <v>41</v>
      </c>
      <c r="B61" s="4">
        <v>0.45</v>
      </c>
    </row>
    <row r="62" spans="1:12">
      <c r="A62" t="s">
        <v>61</v>
      </c>
      <c r="B62" s="3">
        <f>$B$12*(1-B61)</f>
        <v>27500.000000000004</v>
      </c>
    </row>
    <row r="63" spans="1:12">
      <c r="A63" s="4" t="s">
        <v>62</v>
      </c>
      <c r="B63" s="3">
        <f>-B62</f>
        <v>-27500.000000000004</v>
      </c>
      <c r="C63" s="3">
        <f>$C$21</f>
        <v>3368.2748421052656</v>
      </c>
      <c r="D63" s="3">
        <f>$D$21</f>
        <v>3368.2748421052656</v>
      </c>
      <c r="E63" s="3">
        <f>$E$21</f>
        <v>3368.2748421052656</v>
      </c>
      <c r="F63" s="3">
        <f>$F$21</f>
        <v>3368.2748421052656</v>
      </c>
      <c r="G63" s="3">
        <f>$G$21</f>
        <v>-31631.725157894736</v>
      </c>
      <c r="H63" s="3">
        <f>$H$21</f>
        <v>3368.2748421052656</v>
      </c>
      <c r="I63" s="3">
        <f>$I$21</f>
        <v>3368.2748421052656</v>
      </c>
      <c r="J63" s="3">
        <f>$J$21</f>
        <v>3368.2748421052656</v>
      </c>
      <c r="K63" s="3">
        <f>$K$21</f>
        <v>3368.2748421052656</v>
      </c>
      <c r="L63" s="3">
        <f>$L$21</f>
        <v>3368.2748421052656</v>
      </c>
    </row>
    <row r="64" spans="1:12">
      <c r="A64" s="4" t="s">
        <v>25</v>
      </c>
      <c r="B64" s="4">
        <f>IFERROR(IRR(B63:L63),NA())</f>
        <v>-0.18958648223302821</v>
      </c>
    </row>
    <row r="66" spans="1:12">
      <c r="A66" t="s">
        <v>41</v>
      </c>
      <c r="B66" s="4">
        <v>0.5</v>
      </c>
    </row>
    <row r="67" spans="1:12">
      <c r="A67" t="s">
        <v>61</v>
      </c>
      <c r="B67" s="3">
        <f>$B$12*(1-B66)</f>
        <v>25000</v>
      </c>
    </row>
    <row r="68" spans="1:12">
      <c r="A68" s="4" t="s">
        <v>62</v>
      </c>
      <c r="B68" s="3">
        <f>-B67</f>
        <v>-25000</v>
      </c>
      <c r="C68" s="3">
        <f>$C$21</f>
        <v>3368.2748421052656</v>
      </c>
      <c r="D68" s="3">
        <f>$D$21</f>
        <v>3368.2748421052656</v>
      </c>
      <c r="E68" s="3">
        <f>$E$21</f>
        <v>3368.2748421052656</v>
      </c>
      <c r="F68" s="3">
        <f>$F$21</f>
        <v>3368.2748421052656</v>
      </c>
      <c r="G68" s="3">
        <f>$G$21</f>
        <v>-31631.725157894736</v>
      </c>
      <c r="H68" s="3">
        <f>$H$21</f>
        <v>3368.2748421052656</v>
      </c>
      <c r="I68" s="3">
        <f>$I$21</f>
        <v>3368.2748421052656</v>
      </c>
      <c r="J68" s="3">
        <f>$J$21</f>
        <v>3368.2748421052656</v>
      </c>
      <c r="K68" s="3">
        <f>$K$21</f>
        <v>3368.2748421052656</v>
      </c>
      <c r="L68" s="3">
        <f>$L$21</f>
        <v>3368.2748421052656</v>
      </c>
    </row>
    <row r="69" spans="1:12">
      <c r="A69" s="4" t="s">
        <v>25</v>
      </c>
      <c r="B69" s="4">
        <f>IFERROR(IRR(B68:L68),NA())</f>
        <v>-0.18441136086046039</v>
      </c>
    </row>
    <row r="71" spans="1:12">
      <c r="A71" t="s">
        <v>41</v>
      </c>
      <c r="B71" s="4">
        <v>0.55000000000000004</v>
      </c>
    </row>
    <row r="72" spans="1:12">
      <c r="A72" t="s">
        <v>61</v>
      </c>
      <c r="B72" s="3">
        <f>$B$12*(1-B71)</f>
        <v>22499.999999999996</v>
      </c>
    </row>
    <row r="73" spans="1:12">
      <c r="A73" s="4" t="s">
        <v>62</v>
      </c>
      <c r="B73" s="3">
        <f>-B72</f>
        <v>-22499.999999999996</v>
      </c>
      <c r="C73" s="3">
        <f>$C$21</f>
        <v>3368.2748421052656</v>
      </c>
      <c r="D73" s="3">
        <f>$D$21</f>
        <v>3368.2748421052656</v>
      </c>
      <c r="E73" s="3">
        <f>$E$21</f>
        <v>3368.2748421052656</v>
      </c>
      <c r="F73" s="3">
        <f>$F$21</f>
        <v>3368.2748421052656</v>
      </c>
      <c r="G73" s="3">
        <f>$G$21</f>
        <v>-31631.725157894736</v>
      </c>
      <c r="H73" s="3">
        <f>$H$21</f>
        <v>3368.2748421052656</v>
      </c>
      <c r="I73" s="3">
        <f>$I$21</f>
        <v>3368.2748421052656</v>
      </c>
      <c r="J73" s="3">
        <f>$J$21</f>
        <v>3368.2748421052656</v>
      </c>
      <c r="K73" s="3">
        <f>$K$21</f>
        <v>3368.2748421052656</v>
      </c>
      <c r="L73" s="3">
        <f>$L$21</f>
        <v>3368.2748421052656</v>
      </c>
    </row>
    <row r="74" spans="1:12">
      <c r="A74" s="4" t="s">
        <v>25</v>
      </c>
      <c r="B74" s="4">
        <f>IFERROR(IRR(B73:L73),NA())</f>
        <v>-0.17877376998029826</v>
      </c>
    </row>
    <row r="76" spans="1:12">
      <c r="A76" t="s">
        <v>41</v>
      </c>
      <c r="B76" s="4">
        <v>0.6</v>
      </c>
    </row>
    <row r="77" spans="1:12">
      <c r="A77" t="s">
        <v>61</v>
      </c>
      <c r="B77" s="3">
        <f>$B$12*(1-B76)</f>
        <v>20000</v>
      </c>
    </row>
    <row r="78" spans="1:12">
      <c r="A78" s="4" t="s">
        <v>62</v>
      </c>
      <c r="B78" s="3">
        <f>-B77</f>
        <v>-20000</v>
      </c>
      <c r="C78" s="3">
        <f>$C$21</f>
        <v>3368.2748421052656</v>
      </c>
      <c r="D78" s="3">
        <f>$D$21</f>
        <v>3368.2748421052656</v>
      </c>
      <c r="E78" s="3">
        <f>$E$21</f>
        <v>3368.2748421052656</v>
      </c>
      <c r="F78" s="3">
        <f>$F$21</f>
        <v>3368.2748421052656</v>
      </c>
      <c r="G78" s="3">
        <f>$G$21</f>
        <v>-31631.725157894736</v>
      </c>
      <c r="H78" s="3">
        <f>$H$21</f>
        <v>3368.2748421052656</v>
      </c>
      <c r="I78" s="3">
        <f>$I$21</f>
        <v>3368.2748421052656</v>
      </c>
      <c r="J78" s="3">
        <f>$J$21</f>
        <v>3368.2748421052656</v>
      </c>
      <c r="K78" s="3">
        <f>$K$21</f>
        <v>3368.2748421052656</v>
      </c>
      <c r="L78" s="3">
        <f>$L$21</f>
        <v>3368.2748421052656</v>
      </c>
    </row>
    <row r="79" spans="1:12">
      <c r="A79" s="4" t="s">
        <v>25</v>
      </c>
      <c r="B79" s="4">
        <f>IFERROR(IRR(B78:L78),NA())</f>
        <v>-0.17258118742434825</v>
      </c>
    </row>
    <row r="81" spans="1:12">
      <c r="A81" t="s">
        <v>41</v>
      </c>
      <c r="B81" s="4">
        <v>0.65</v>
      </c>
    </row>
    <row r="82" spans="1:12">
      <c r="A82" t="s">
        <v>61</v>
      </c>
      <c r="B82" s="3">
        <f>$B$12*(1-B81)</f>
        <v>17500</v>
      </c>
    </row>
    <row r="83" spans="1:12">
      <c r="A83" s="4" t="s">
        <v>62</v>
      </c>
      <c r="B83" s="3">
        <f>-B82</f>
        <v>-17500</v>
      </c>
      <c r="C83" s="3">
        <f>$C$21</f>
        <v>3368.2748421052656</v>
      </c>
      <c r="D83" s="3">
        <f>$D$21</f>
        <v>3368.2748421052656</v>
      </c>
      <c r="E83" s="3">
        <f>$E$21</f>
        <v>3368.2748421052656</v>
      </c>
      <c r="F83" s="3">
        <f>$F$21</f>
        <v>3368.2748421052656</v>
      </c>
      <c r="G83" s="3">
        <f>$G$21</f>
        <v>-31631.725157894736</v>
      </c>
      <c r="H83" s="3">
        <f>$H$21</f>
        <v>3368.2748421052656</v>
      </c>
      <c r="I83" s="3">
        <f>$I$21</f>
        <v>3368.2748421052656</v>
      </c>
      <c r="J83" s="3">
        <f>$J$21</f>
        <v>3368.2748421052656</v>
      </c>
      <c r="K83" s="3">
        <f>$K$21</f>
        <v>3368.2748421052656</v>
      </c>
      <c r="L83" s="3">
        <f>$L$21</f>
        <v>3368.2748421052656</v>
      </c>
    </row>
    <row r="84" spans="1:12">
      <c r="A84" s="4" t="s">
        <v>25</v>
      </c>
      <c r="B84" s="4">
        <f>IFERROR(IRR(B83:L83),NA())</f>
        <v>-0.16570954608783084</v>
      </c>
    </row>
    <row r="86" spans="1:12">
      <c r="A86" t="s">
        <v>41</v>
      </c>
      <c r="B86" s="4">
        <v>0.7</v>
      </c>
    </row>
    <row r="87" spans="1:12">
      <c r="A87" t="s">
        <v>61</v>
      </c>
      <c r="B87" s="3">
        <f>$B$12*(1-B86)</f>
        <v>15000.000000000002</v>
      </c>
    </row>
    <row r="88" spans="1:12">
      <c r="A88" s="4" t="s">
        <v>62</v>
      </c>
      <c r="B88" s="3">
        <f>-B87</f>
        <v>-15000.000000000002</v>
      </c>
      <c r="C88" s="3">
        <f>$C$21</f>
        <v>3368.2748421052656</v>
      </c>
      <c r="D88" s="3">
        <f>$D$21</f>
        <v>3368.2748421052656</v>
      </c>
      <c r="E88" s="3">
        <f>$E$21</f>
        <v>3368.2748421052656</v>
      </c>
      <c r="F88" s="3">
        <f>$F$21</f>
        <v>3368.2748421052656</v>
      </c>
      <c r="G88" s="3">
        <f>$G$21</f>
        <v>-31631.725157894736</v>
      </c>
      <c r="H88" s="3">
        <f>$H$21</f>
        <v>3368.2748421052656</v>
      </c>
      <c r="I88" s="3">
        <f>$I$21</f>
        <v>3368.2748421052656</v>
      </c>
      <c r="J88" s="3">
        <f>$J$21</f>
        <v>3368.2748421052656</v>
      </c>
      <c r="K88" s="3">
        <f>$K$21</f>
        <v>3368.2748421052656</v>
      </c>
      <c r="L88" s="3">
        <f>$L$21</f>
        <v>3368.2748421052656</v>
      </c>
    </row>
    <row r="89" spans="1:12">
      <c r="A89" s="4" t="s">
        <v>25</v>
      </c>
      <c r="B89" s="4">
        <f>IFERROR(IRR(B88:L88),NA())</f>
        <v>-0.15798673634980009</v>
      </c>
    </row>
    <row r="91" spans="1:12">
      <c r="A91" t="s">
        <v>41</v>
      </c>
      <c r="B91" s="4">
        <v>0.75</v>
      </c>
    </row>
    <row r="92" spans="1:12">
      <c r="A92" t="s">
        <v>61</v>
      </c>
      <c r="B92" s="3">
        <f>$B$12*(1-B91)</f>
        <v>12500</v>
      </c>
    </row>
    <row r="93" spans="1:12">
      <c r="A93" s="4" t="s">
        <v>62</v>
      </c>
      <c r="B93" s="3">
        <f>-B92</f>
        <v>-12500</v>
      </c>
      <c r="C93" s="3">
        <f>$C$21</f>
        <v>3368.2748421052656</v>
      </c>
      <c r="D93" s="3">
        <f>$D$21</f>
        <v>3368.2748421052656</v>
      </c>
      <c r="E93" s="3">
        <f>$E$21</f>
        <v>3368.2748421052656</v>
      </c>
      <c r="F93" s="3">
        <f>$F$21</f>
        <v>3368.2748421052656</v>
      </c>
      <c r="G93" s="3">
        <f>$G$21</f>
        <v>-31631.725157894736</v>
      </c>
      <c r="H93" s="3">
        <f>$H$21</f>
        <v>3368.2748421052656</v>
      </c>
      <c r="I93" s="3">
        <f>$I$21</f>
        <v>3368.2748421052656</v>
      </c>
      <c r="J93" s="3">
        <f>$J$21</f>
        <v>3368.2748421052656</v>
      </c>
      <c r="K93" s="3">
        <f>$K$21</f>
        <v>3368.2748421052656</v>
      </c>
      <c r="L93" s="3">
        <f>$L$21</f>
        <v>3368.2748421052656</v>
      </c>
    </row>
    <row r="94" spans="1:12">
      <c r="A94" s="4" t="s">
        <v>25</v>
      </c>
      <c r="B94" s="4">
        <f>IFERROR(IRR(B93:L93),NA())</f>
        <v>-0.14916347430354737</v>
      </c>
    </row>
    <row r="96" spans="1:12">
      <c r="A96" t="s">
        <v>41</v>
      </c>
      <c r="B96" s="4">
        <v>0.8</v>
      </c>
    </row>
    <row r="97" spans="1:12">
      <c r="A97" t="s">
        <v>61</v>
      </c>
      <c r="B97" s="3">
        <f>$B$12*(1-B96)</f>
        <v>9999.9999999999982</v>
      </c>
    </row>
    <row r="98" spans="1:12">
      <c r="A98" s="4" t="s">
        <v>62</v>
      </c>
      <c r="B98" s="3">
        <f>-B97</f>
        <v>-9999.9999999999982</v>
      </c>
      <c r="C98" s="3">
        <f>$C$21</f>
        <v>3368.2748421052656</v>
      </c>
      <c r="D98" s="3">
        <f>$D$21</f>
        <v>3368.2748421052656</v>
      </c>
      <c r="E98" s="3">
        <f>$E$21</f>
        <v>3368.2748421052656</v>
      </c>
      <c r="F98" s="3">
        <f>$F$21</f>
        <v>3368.2748421052656</v>
      </c>
      <c r="G98" s="3">
        <f>$G$21</f>
        <v>-31631.725157894736</v>
      </c>
      <c r="H98" s="3">
        <f>$H$21</f>
        <v>3368.2748421052656</v>
      </c>
      <c r="I98" s="3">
        <f>$I$21</f>
        <v>3368.2748421052656</v>
      </c>
      <c r="J98" s="3">
        <f>$J$21</f>
        <v>3368.2748421052656</v>
      </c>
      <c r="K98" s="3">
        <f>$K$21</f>
        <v>3368.2748421052656</v>
      </c>
      <c r="L98" s="3">
        <f>$L$21</f>
        <v>3368.2748421052656</v>
      </c>
    </row>
    <row r="99" spans="1:12">
      <c r="A99" s="4" t="s">
        <v>25</v>
      </c>
      <c r="B99" s="4">
        <f>IFERROR(IRR(B98:L98),NA())</f>
        <v>-0.13885757144837485</v>
      </c>
    </row>
    <row r="101" spans="1:12">
      <c r="A101" t="s">
        <v>41</v>
      </c>
      <c r="B101" s="4">
        <v>0.85</v>
      </c>
    </row>
    <row r="102" spans="1:12">
      <c r="A102" t="s">
        <v>61</v>
      </c>
      <c r="B102" s="3">
        <f>$B$12*(1-B101)</f>
        <v>7500.0000000000009</v>
      </c>
    </row>
    <row r="103" spans="1:12">
      <c r="A103" s="4" t="s">
        <v>62</v>
      </c>
      <c r="B103" s="3">
        <f>-B102</f>
        <v>-7500.0000000000009</v>
      </c>
      <c r="C103" s="3">
        <f>$C$21</f>
        <v>3368.2748421052656</v>
      </c>
      <c r="D103" s="3">
        <f>$D$21</f>
        <v>3368.2748421052656</v>
      </c>
      <c r="E103" s="3">
        <f>$E$21</f>
        <v>3368.2748421052656</v>
      </c>
      <c r="F103" s="3">
        <f>$F$21</f>
        <v>3368.2748421052656</v>
      </c>
      <c r="G103" s="3">
        <f>$G$21</f>
        <v>-31631.725157894736</v>
      </c>
      <c r="H103" s="3">
        <f>$H$21</f>
        <v>3368.2748421052656</v>
      </c>
      <c r="I103" s="3">
        <f>$I$21</f>
        <v>3368.2748421052656</v>
      </c>
      <c r="J103" s="3">
        <f>$J$21</f>
        <v>3368.2748421052656</v>
      </c>
      <c r="K103" s="3">
        <f>$K$21</f>
        <v>3368.2748421052656</v>
      </c>
      <c r="L103" s="3">
        <f>$L$21</f>
        <v>3368.2748421052656</v>
      </c>
    </row>
    <row r="104" spans="1:12">
      <c r="A104" s="4" t="s">
        <v>25</v>
      </c>
      <c r="B104" s="4">
        <f>IFERROR(IRR(B103:L103),NA())</f>
        <v>-0.12643511016564524</v>
      </c>
    </row>
    <row r="106" spans="1:12">
      <c r="A106" t="s">
        <v>41</v>
      </c>
      <c r="B106" s="4">
        <v>0.9</v>
      </c>
    </row>
    <row r="107" spans="1:12">
      <c r="A107" t="s">
        <v>61</v>
      </c>
      <c r="B107" s="3">
        <f>$B$12*(1-B106)</f>
        <v>4999.9999999999991</v>
      </c>
    </row>
    <row r="108" spans="1:12">
      <c r="A108" s="4" t="s">
        <v>62</v>
      </c>
      <c r="B108" s="3">
        <f>-B107</f>
        <v>-4999.9999999999991</v>
      </c>
      <c r="C108" s="3">
        <f>$C$21</f>
        <v>3368.2748421052656</v>
      </c>
      <c r="D108" s="3">
        <f>$D$21</f>
        <v>3368.2748421052656</v>
      </c>
      <c r="E108" s="3">
        <f>$E$21</f>
        <v>3368.2748421052656</v>
      </c>
      <c r="F108" s="3">
        <f>$F$21</f>
        <v>3368.2748421052656</v>
      </c>
      <c r="G108" s="3">
        <f>$G$21</f>
        <v>-31631.725157894736</v>
      </c>
      <c r="H108" s="3">
        <f>$H$21</f>
        <v>3368.2748421052656</v>
      </c>
      <c r="I108" s="3">
        <f>$I$21</f>
        <v>3368.2748421052656</v>
      </c>
      <c r="J108" s="3">
        <f>$J$21</f>
        <v>3368.2748421052656</v>
      </c>
      <c r="K108" s="3">
        <f>$K$21</f>
        <v>3368.2748421052656</v>
      </c>
      <c r="L108" s="3">
        <f>$L$21</f>
        <v>3368.2748421052656</v>
      </c>
    </row>
    <row r="109" spans="1:12">
      <c r="A109" s="4" t="s">
        <v>25</v>
      </c>
      <c r="B109" s="4">
        <f>IFERROR(IRR(B108:L108),NA())</f>
        <v>-0.11071406101070047</v>
      </c>
    </row>
    <row r="111" spans="1:12">
      <c r="A111" t="s">
        <v>41</v>
      </c>
      <c r="B111" s="4">
        <v>0.95</v>
      </c>
    </row>
    <row r="112" spans="1:12">
      <c r="A112" t="s">
        <v>61</v>
      </c>
      <c r="B112" s="3">
        <f>$B$12*(1-B111)</f>
        <v>2500.0000000000023</v>
      </c>
    </row>
    <row r="113" spans="1:20">
      <c r="A113" s="4" t="s">
        <v>62</v>
      </c>
      <c r="B113" s="3">
        <f>-B112</f>
        <v>-2500.0000000000023</v>
      </c>
      <c r="C113" s="3">
        <f>$C$21</f>
        <v>3368.2748421052656</v>
      </c>
      <c r="D113" s="3">
        <f>$D$21</f>
        <v>3368.2748421052656</v>
      </c>
      <c r="E113" s="3">
        <f>$E$21</f>
        <v>3368.2748421052656</v>
      </c>
      <c r="F113" s="3">
        <f>$F$21</f>
        <v>3368.2748421052656</v>
      </c>
      <c r="G113" s="3">
        <f>$G$21</f>
        <v>-31631.725157894736</v>
      </c>
      <c r="H113" s="3">
        <f>$H$21</f>
        <v>3368.2748421052656</v>
      </c>
      <c r="I113" s="3">
        <f>$I$21</f>
        <v>3368.2748421052656</v>
      </c>
      <c r="J113" s="3">
        <f>$J$21</f>
        <v>3368.2748421052656</v>
      </c>
      <c r="K113" s="3">
        <f>$K$21</f>
        <v>3368.2748421052656</v>
      </c>
      <c r="L113" s="3">
        <f>$L$21</f>
        <v>3368.2748421052656</v>
      </c>
    </row>
    <row r="114" spans="1:20">
      <c r="A114" s="4" t="s">
        <v>25</v>
      </c>
      <c r="B114" s="4">
        <f>IFERROR(IRR(B113:L113),NA())</f>
        <v>-8.9011252787362105E-2</v>
      </c>
    </row>
    <row r="116" spans="1:20">
      <c r="A116" t="s">
        <v>41</v>
      </c>
      <c r="B116" s="4">
        <v>1</v>
      </c>
    </row>
    <row r="117" spans="1:20">
      <c r="A117" t="s">
        <v>61</v>
      </c>
      <c r="B117" s="3">
        <f>$B$12*(1-B116)</f>
        <v>0</v>
      </c>
    </row>
    <row r="118" spans="1:20">
      <c r="A118" s="4" t="s">
        <v>62</v>
      </c>
      <c r="B118" s="3">
        <f>-B117</f>
        <v>0</v>
      </c>
      <c r="C118" s="3">
        <f>$C$21</f>
        <v>3368.2748421052656</v>
      </c>
      <c r="D118" s="3">
        <f>$D$21</f>
        <v>3368.2748421052656</v>
      </c>
      <c r="E118" s="3">
        <f>$E$21</f>
        <v>3368.2748421052656</v>
      </c>
      <c r="F118" s="3">
        <f>$F$21</f>
        <v>3368.2748421052656</v>
      </c>
      <c r="G118" s="3">
        <f>$G$21</f>
        <v>-31631.725157894736</v>
      </c>
      <c r="H118" s="3">
        <f>$H$21</f>
        <v>3368.2748421052656</v>
      </c>
      <c r="I118" s="3">
        <f>$I$21</f>
        <v>3368.2748421052656</v>
      </c>
      <c r="J118" s="3">
        <f>$J$21</f>
        <v>3368.2748421052656</v>
      </c>
      <c r="K118" s="3">
        <f>$K$21</f>
        <v>3368.2748421052656</v>
      </c>
      <c r="L118" s="3">
        <f>$L$21</f>
        <v>3368.2748421052656</v>
      </c>
    </row>
    <row r="119" spans="1:20">
      <c r="A119" s="4" t="s">
        <v>25</v>
      </c>
      <c r="B119" s="4">
        <f>IFERROR(IRR(B118:L118),NA())</f>
        <v>0.194806097463605</v>
      </c>
    </row>
    <row r="122" spans="1:20">
      <c r="A122" t="s">
        <v>63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>
        <f>B29</f>
        <v>-0.21731720087633122</v>
      </c>
      <c r="C124" s="4">
        <f>B34</f>
        <v>-0.21402329863664105</v>
      </c>
      <c r="D124" s="4">
        <f>B39</f>
        <v>-0.21054932488985489</v>
      </c>
      <c r="E124" s="4">
        <f>B44</f>
        <v>-0.20687440172895755</v>
      </c>
      <c r="F124" s="4">
        <f>B49</f>
        <v>-0.20297375396383244</v>
      </c>
      <c r="G124" s="4">
        <f>B54</f>
        <v>-0.19881766431751124</v>
      </c>
      <c r="H124" s="4">
        <f>B59</f>
        <v>-0.19437005005959562</v>
      </c>
      <c r="I124" s="4">
        <f>B64</f>
        <v>-0.18958648223302821</v>
      </c>
      <c r="J124" s="4">
        <f>B69</f>
        <v>-0.18441136086046039</v>
      </c>
      <c r="K124" s="4">
        <f>B74</f>
        <v>-0.17877376998029826</v>
      </c>
      <c r="L124" s="4">
        <f>B79</f>
        <v>-0.17258118742434825</v>
      </c>
      <c r="M124" s="4">
        <f>B84</f>
        <v>-0.16570954608783084</v>
      </c>
      <c r="N124" s="4">
        <f>B89</f>
        <v>-0.15798673634980009</v>
      </c>
      <c r="O124" s="4">
        <f>B94</f>
        <v>-0.14916347430354737</v>
      </c>
      <c r="P124" s="4">
        <f>B99</f>
        <v>-0.13885757144837485</v>
      </c>
      <c r="Q124" s="4">
        <f>B104</f>
        <v>-0.12643511016564524</v>
      </c>
      <c r="R124" s="4">
        <f>B109</f>
        <v>-0.11071406101070047</v>
      </c>
      <c r="S124" s="4">
        <f>B114</f>
        <v>-8.9011252787362105E-2</v>
      </c>
      <c r="T124" s="4">
        <f>B119</f>
        <v>0.194806097463605</v>
      </c>
    </row>
    <row r="125" spans="1:20">
      <c r="A125" t="s">
        <v>64</v>
      </c>
      <c r="B125" s="4">
        <f>LOOKUP('IRR inputs &amp; outputs'!B18, B124:P124, B123:P123)</f>
        <v>0.8</v>
      </c>
    </row>
    <row r="126" spans="1:20">
      <c r="A126" t="s">
        <v>65</v>
      </c>
      <c r="B126" s="4">
        <f>LOOKUP('IRR inputs &amp; outputs'!B19, B124:P124, B123:P123)</f>
        <v>0.8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D1FEE-FAD7-4AFB-8A15-740008B20A65}">
  <dimension ref="A1:T126"/>
  <sheetViews>
    <sheetView workbookViewId="0">
      <selection activeCell="A17" sqref="A17"/>
    </sheetView>
  </sheetViews>
  <sheetFormatPr defaultRowHeight="14.25"/>
  <cols>
    <col min="1" max="1" width="14.7109375" bestFit="1" customWidth="1"/>
    <col min="6" max="6" width="10.28515625" bestFit="1" customWidth="1"/>
  </cols>
  <sheetData>
    <row r="1" spans="1:15">
      <c r="A1" s="1" t="s">
        <v>24</v>
      </c>
      <c r="B1" s="5">
        <v>0.1</v>
      </c>
    </row>
    <row r="2" spans="1:15">
      <c r="A2" t="s">
        <v>44</v>
      </c>
      <c r="B2">
        <f>24*365</f>
        <v>8760</v>
      </c>
    </row>
    <row r="3" spans="1:15">
      <c r="A3" t="s">
        <v>45</v>
      </c>
      <c r="B3">
        <f>B2*B1*'IRR inputs &amp; outputs'!B2*'IRR inputs &amp; outputs'!B3*'IRR inputs &amp; outputs'!$B$7</f>
        <v>43449.599999999999</v>
      </c>
      <c r="C3" t="s">
        <v>46</v>
      </c>
    </row>
    <row r="5" spans="1:15">
      <c r="A5" s="1" t="s">
        <v>47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48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49</v>
      </c>
      <c r="B7" s="2"/>
      <c r="C7" s="2">
        <f>$B$3*'IRR inputs &amp; outputs'!$B$13</f>
        <v>23897.280000000002</v>
      </c>
      <c r="D7" s="2">
        <f>$B$3*'IRR inputs &amp; outputs'!$B$13</f>
        <v>23897.280000000002</v>
      </c>
      <c r="E7" s="2">
        <f>$B$3*'IRR inputs &amp; outputs'!$B$13</f>
        <v>23897.280000000002</v>
      </c>
      <c r="F7" s="2">
        <f>$B$3*'IRR inputs &amp; outputs'!$B$13</f>
        <v>23897.280000000002</v>
      </c>
      <c r="G7" s="2">
        <f>$B$3*'IRR inputs &amp; outputs'!$B$13</f>
        <v>23897.280000000002</v>
      </c>
      <c r="H7" s="2">
        <f>$B$3*'IRR inputs &amp; outputs'!$B$13</f>
        <v>23897.280000000002</v>
      </c>
      <c r="I7" s="2">
        <f>$B$3*'IRR inputs &amp; outputs'!$B$13</f>
        <v>23897.280000000002</v>
      </c>
      <c r="J7" s="2">
        <f>$B$3*'IRR inputs &amp; outputs'!$B$13</f>
        <v>23897.280000000002</v>
      </c>
      <c r="K7" s="2">
        <f>$B$3*'IRR inputs &amp; outputs'!$B$13</f>
        <v>23897.280000000002</v>
      </c>
      <c r="L7" s="2">
        <f>$B$3*'IRR inputs &amp; outputs'!$B$13</f>
        <v>23897.280000000002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50</v>
      </c>
      <c r="B9" s="2"/>
      <c r="C9" s="2">
        <f t="shared" ref="C9:L9" si="0">SUM(C7:C8)</f>
        <v>23897.280000000002</v>
      </c>
      <c r="D9" s="2">
        <f t="shared" si="0"/>
        <v>23897.280000000002</v>
      </c>
      <c r="E9" s="2">
        <f t="shared" si="0"/>
        <v>23897.280000000002</v>
      </c>
      <c r="F9" s="2">
        <f t="shared" si="0"/>
        <v>23897.280000000002</v>
      </c>
      <c r="G9" s="2">
        <f t="shared" si="0"/>
        <v>23897.280000000002</v>
      </c>
      <c r="H9" s="2">
        <f t="shared" si="0"/>
        <v>23897.280000000002</v>
      </c>
      <c r="I9" s="2">
        <f t="shared" si="0"/>
        <v>23897.280000000002</v>
      </c>
      <c r="J9" s="2">
        <f t="shared" si="0"/>
        <v>23897.280000000002</v>
      </c>
      <c r="K9" s="2">
        <f t="shared" si="0"/>
        <v>23897.280000000002</v>
      </c>
      <c r="L9" s="2">
        <f t="shared" si="0"/>
        <v>23897.280000000002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51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50000</v>
      </c>
      <c r="C12" s="2"/>
      <c r="D12" s="2"/>
      <c r="E12" s="2"/>
      <c r="F12" s="2"/>
      <c r="G12" s="2">
        <f>'IRR inputs &amp; outputs'!B15</f>
        <v>35000</v>
      </c>
      <c r="H12" s="2"/>
      <c r="I12" s="2"/>
      <c r="J12" s="2"/>
      <c r="K12" s="2"/>
      <c r="L12" s="2"/>
    </row>
    <row r="13" spans="1:15">
      <c r="A13" t="s">
        <v>52</v>
      </c>
      <c r="B13" s="2">
        <f>'IRR inputs &amp; outputs'!B16</f>
        <v>1000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53</v>
      </c>
      <c r="B14" s="2"/>
      <c r="C14" s="2">
        <f>'IRR inputs &amp; outputs'!$B$17</f>
        <v>5000</v>
      </c>
      <c r="D14" s="2">
        <f>'IRR inputs &amp; outputs'!$B$17</f>
        <v>5000</v>
      </c>
      <c r="E14" s="2">
        <f>'IRR inputs &amp; outputs'!$B$17</f>
        <v>5000</v>
      </c>
      <c r="F14" s="2">
        <f>'IRR inputs &amp; outputs'!$B$17</f>
        <v>5000</v>
      </c>
      <c r="G14" s="2">
        <f>'IRR inputs &amp; outputs'!$B$17</f>
        <v>5000</v>
      </c>
      <c r="H14" s="2">
        <f>'IRR inputs &amp; outputs'!$B$17</f>
        <v>5000</v>
      </c>
      <c r="I14" s="2">
        <f>'IRR inputs &amp; outputs'!$B$17</f>
        <v>5000</v>
      </c>
      <c r="J14" s="2">
        <f>'IRR inputs &amp; outputs'!$B$17</f>
        <v>5000</v>
      </c>
      <c r="K14" s="2">
        <f>'IRR inputs &amp; outputs'!$B$17</f>
        <v>5000</v>
      </c>
      <c r="L14" s="2">
        <f>'IRR inputs &amp; outputs'!$B$17</f>
        <v>5000</v>
      </c>
    </row>
    <row r="15" spans="1:15">
      <c r="A15" t="s">
        <v>54</v>
      </c>
      <c r="B15" s="2"/>
      <c r="C15" s="2">
        <f>'IRR inputs &amp; outputs'!B14</f>
        <v>750</v>
      </c>
      <c r="D15" s="2">
        <f>'IRR inputs &amp; outputs'!B14</f>
        <v>750</v>
      </c>
      <c r="E15" s="2">
        <f>'IRR inputs &amp; outputs'!B14</f>
        <v>750</v>
      </c>
      <c r="F15" s="2">
        <f>'IRR inputs &amp; outputs'!B14</f>
        <v>750</v>
      </c>
      <c r="G15" s="2">
        <f>'IRR inputs &amp; outputs'!B14</f>
        <v>750</v>
      </c>
      <c r="H15" s="2">
        <f>'IRR inputs &amp; outputs'!B14</f>
        <v>750</v>
      </c>
      <c r="I15" s="2">
        <f>'IRR inputs &amp; outputs'!B14</f>
        <v>750</v>
      </c>
      <c r="J15" s="2">
        <f>'IRR inputs &amp; outputs'!B14</f>
        <v>750</v>
      </c>
      <c r="K15" s="2">
        <f>'IRR inputs &amp; outputs'!B14</f>
        <v>750</v>
      </c>
      <c r="L15" s="2">
        <f>'IRR inputs &amp; outputs'!B14</f>
        <v>750</v>
      </c>
    </row>
    <row r="16" spans="1:15">
      <c r="A16" t="s">
        <v>55</v>
      </c>
      <c r="B16" s="2"/>
      <c r="C16" s="2">
        <f>(1/'IRR inputs &amp; outputs'!$B$8)*$B$3*'IRR inputs &amp; outputs'!$B$9+'IRR inputs &amp; outputs'!$B$10</f>
        <v>9147.2842105263153</v>
      </c>
      <c r="D16" s="2">
        <f>(1/'IRR inputs &amp; outputs'!$B$8)*$B$3*'IRR inputs &amp; outputs'!$B$9+'IRR inputs &amp; outputs'!$B$10</f>
        <v>9147.2842105263153</v>
      </c>
      <c r="E16" s="2">
        <f>(1/'IRR inputs &amp; outputs'!$B$8)*$B$3*'IRR inputs &amp; outputs'!$B$9+'IRR inputs &amp; outputs'!$B$10</f>
        <v>9147.2842105263153</v>
      </c>
      <c r="F16" s="2">
        <f>(1/'IRR inputs &amp; outputs'!$B$8)*$B$3*'IRR inputs &amp; outputs'!$B$9+'IRR inputs &amp; outputs'!$B$10</f>
        <v>9147.2842105263153</v>
      </c>
      <c r="G16" s="2">
        <f>(1/'IRR inputs &amp; outputs'!$B$8)*$B$3*'IRR inputs &amp; outputs'!$B$9+'IRR inputs &amp; outputs'!$B$10</f>
        <v>9147.2842105263153</v>
      </c>
      <c r="H16" s="2">
        <f>(1/'IRR inputs &amp; outputs'!$B$8)*$B$3*'IRR inputs &amp; outputs'!$B$9+'IRR inputs &amp; outputs'!$B$10</f>
        <v>9147.2842105263153</v>
      </c>
      <c r="I16" s="2">
        <f>(1/'IRR inputs &amp; outputs'!$B$8)*$B$3*'IRR inputs &amp; outputs'!$B$9+'IRR inputs &amp; outputs'!$B$10</f>
        <v>9147.2842105263153</v>
      </c>
      <c r="J16" s="2">
        <f>(1/'IRR inputs &amp; outputs'!$B$8)*$B$3*'IRR inputs &amp; outputs'!$B$9+'IRR inputs &amp; outputs'!$B$10</f>
        <v>9147.2842105263153</v>
      </c>
      <c r="K16" s="2">
        <f>(1/'IRR inputs &amp; outputs'!$B$8)*$B$3*'IRR inputs &amp; outputs'!$B$9+'IRR inputs &amp; outputs'!$B$10</f>
        <v>9147.2842105263153</v>
      </c>
      <c r="L16" s="2">
        <f>(1/'IRR inputs &amp; outputs'!$B$8)*$B$3*'IRR inputs &amp; outputs'!$B$9+'IRR inputs &amp; outputs'!$B$10</f>
        <v>9147.2842105263153</v>
      </c>
    </row>
    <row r="17" spans="1:12">
      <c r="A17" t="s">
        <v>56</v>
      </c>
      <c r="B17" s="2"/>
      <c r="C17" s="46">
        <f>'IRR inputs &amp; outputs'!$B$12</f>
        <v>600</v>
      </c>
      <c r="D17" s="2">
        <f>'IRR inputs &amp; outputs'!$B$12</f>
        <v>600</v>
      </c>
      <c r="E17" s="2">
        <f>'IRR inputs &amp; outputs'!$B$12</f>
        <v>600</v>
      </c>
      <c r="F17" s="2">
        <f>'IRR inputs &amp; outputs'!$B$12</f>
        <v>600</v>
      </c>
      <c r="G17" s="2">
        <f>'IRR inputs &amp; outputs'!$B$12</f>
        <v>600</v>
      </c>
      <c r="H17" s="2">
        <f>'IRR inputs &amp; outputs'!$B$12</f>
        <v>600</v>
      </c>
      <c r="I17" s="2">
        <f>'IRR inputs &amp; outputs'!$B$12</f>
        <v>600</v>
      </c>
      <c r="J17" s="2">
        <f>'IRR inputs &amp; outputs'!$B$12</f>
        <v>600</v>
      </c>
      <c r="K17" s="2">
        <f>'IRR inputs &amp; outputs'!$B$12</f>
        <v>600</v>
      </c>
      <c r="L17" s="2">
        <f>'IRR inputs &amp; outputs'!$B$12</f>
        <v>600</v>
      </c>
    </row>
    <row r="18" spans="1:12">
      <c r="A18" t="s">
        <v>57</v>
      </c>
      <c r="B18" s="2"/>
      <c r="C18" s="2">
        <f>$B$3*'IRR inputs &amp; outputs'!$B$11*'IRR inputs &amp; outputs'!$B$13</f>
        <v>1792.296</v>
      </c>
      <c r="D18" s="2">
        <f>$B$3*'IRR inputs &amp; outputs'!$B$11*'IRR inputs &amp; outputs'!$B$13</f>
        <v>1792.296</v>
      </c>
      <c r="E18" s="2">
        <f>$B$3*'IRR inputs &amp; outputs'!$B$11*'IRR inputs &amp; outputs'!$B$13</f>
        <v>1792.296</v>
      </c>
      <c r="F18" s="2">
        <f>$B$3*'IRR inputs &amp; outputs'!$B$11*'IRR inputs &amp; outputs'!$B$13</f>
        <v>1792.296</v>
      </c>
      <c r="G18" s="2">
        <f>$B$3*'IRR inputs &amp; outputs'!$B$11*'IRR inputs &amp; outputs'!$B$13</f>
        <v>1792.296</v>
      </c>
      <c r="H18" s="2">
        <f>$B$3*'IRR inputs &amp; outputs'!$B$11*'IRR inputs &amp; outputs'!$B$13</f>
        <v>1792.296</v>
      </c>
      <c r="I18" s="2">
        <f>$B$3*'IRR inputs &amp; outputs'!$B$11*'IRR inputs &amp; outputs'!$B$13</f>
        <v>1792.296</v>
      </c>
      <c r="J18" s="2">
        <f>$B$3*'IRR inputs &amp; outputs'!$B$11*'IRR inputs &amp; outputs'!$B$13</f>
        <v>1792.296</v>
      </c>
      <c r="K18" s="2">
        <f>$B$3*'IRR inputs &amp; outputs'!$B$11*'IRR inputs &amp; outputs'!$B$13</f>
        <v>1792.296</v>
      </c>
      <c r="L18" s="2">
        <f>$B$3*'IRR inputs &amp; outputs'!$B$11*'IRR inputs &amp; outputs'!$B$13</f>
        <v>1792.296</v>
      </c>
    </row>
    <row r="19" spans="1:12">
      <c r="A19" t="s">
        <v>58</v>
      </c>
      <c r="B19" s="3">
        <f t="shared" ref="B19:L19" si="1">SUM(B12:B18)</f>
        <v>51000</v>
      </c>
      <c r="C19" s="3">
        <f t="shared" si="1"/>
        <v>17289.580210526314</v>
      </c>
      <c r="D19" s="3">
        <f t="shared" si="1"/>
        <v>17289.580210526314</v>
      </c>
      <c r="E19" s="3">
        <f t="shared" si="1"/>
        <v>17289.580210526314</v>
      </c>
      <c r="F19" s="3">
        <f t="shared" si="1"/>
        <v>17289.580210526314</v>
      </c>
      <c r="G19" s="3">
        <f t="shared" si="1"/>
        <v>52289.580210526314</v>
      </c>
      <c r="H19" s="3">
        <f t="shared" si="1"/>
        <v>17289.580210526314</v>
      </c>
      <c r="I19" s="3">
        <f t="shared" si="1"/>
        <v>17289.580210526314</v>
      </c>
      <c r="J19" s="3">
        <f t="shared" si="1"/>
        <v>17289.580210526314</v>
      </c>
      <c r="K19" s="3">
        <f t="shared" si="1"/>
        <v>17289.580210526314</v>
      </c>
      <c r="L19" s="3">
        <f t="shared" si="1"/>
        <v>17289.580210526314</v>
      </c>
    </row>
    <row r="21" spans="1:12">
      <c r="A21" t="s">
        <v>59</v>
      </c>
      <c r="B21" s="3">
        <f t="shared" ref="B21:L21" si="2">B9-B19</f>
        <v>-51000</v>
      </c>
      <c r="C21" s="3">
        <f t="shared" si="2"/>
        <v>6607.6997894736887</v>
      </c>
      <c r="D21" s="3">
        <f t="shared" si="2"/>
        <v>6607.6997894736887</v>
      </c>
      <c r="E21" s="3">
        <f t="shared" si="2"/>
        <v>6607.6997894736887</v>
      </c>
      <c r="F21" s="3">
        <f t="shared" si="2"/>
        <v>6607.6997894736887</v>
      </c>
      <c r="G21" s="3">
        <f t="shared" si="2"/>
        <v>-28392.300210526311</v>
      </c>
      <c r="H21" s="3">
        <f t="shared" si="2"/>
        <v>6607.6997894736887</v>
      </c>
      <c r="I21" s="3">
        <f t="shared" si="2"/>
        <v>6607.6997894736887</v>
      </c>
      <c r="J21" s="3">
        <f t="shared" si="2"/>
        <v>6607.6997894736887</v>
      </c>
      <c r="K21" s="3">
        <f t="shared" si="2"/>
        <v>6607.6997894736887</v>
      </c>
      <c r="L21" s="3">
        <f t="shared" si="2"/>
        <v>6607.6997894736887</v>
      </c>
    </row>
    <row r="23" spans="1:12">
      <c r="A23" t="s">
        <v>25</v>
      </c>
      <c r="B23" s="4">
        <f>IFERROR(IRR(B21:L21),NA())</f>
        <v>-7.169660019572166E-2</v>
      </c>
    </row>
    <row r="25" spans="1:12">
      <c r="A25" s="1" t="s">
        <v>60</v>
      </c>
    </row>
    <row r="26" spans="1:12">
      <c r="A26" t="s">
        <v>41</v>
      </c>
      <c r="B26" s="4">
        <v>0.1</v>
      </c>
    </row>
    <row r="27" spans="1:12">
      <c r="A27" t="s">
        <v>61</v>
      </c>
      <c r="B27" s="3">
        <f>$B$12*(1-B26)</f>
        <v>45000</v>
      </c>
    </row>
    <row r="28" spans="1:12">
      <c r="A28" s="4" t="s">
        <v>62</v>
      </c>
      <c r="B28" s="3">
        <f>-B27</f>
        <v>-45000</v>
      </c>
      <c r="C28" s="3">
        <f>$C$21</f>
        <v>6607.6997894736887</v>
      </c>
      <c r="D28" s="3">
        <f>$D$21</f>
        <v>6607.6997894736887</v>
      </c>
      <c r="E28" s="3">
        <f>$E$21</f>
        <v>6607.6997894736887</v>
      </c>
      <c r="F28" s="3">
        <f>$F$21</f>
        <v>6607.6997894736887</v>
      </c>
      <c r="G28" s="3">
        <f>$G$21</f>
        <v>-28392.300210526311</v>
      </c>
      <c r="H28" s="3">
        <f>$H$21</f>
        <v>6607.6997894736887</v>
      </c>
      <c r="I28" s="3">
        <f>$I$21</f>
        <v>6607.6997894736887</v>
      </c>
      <c r="J28" s="3">
        <f>$J$21</f>
        <v>6607.6997894736887</v>
      </c>
      <c r="K28" s="3">
        <f>$K$21</f>
        <v>6607.6997894736887</v>
      </c>
      <c r="L28" s="3">
        <f>$L$21</f>
        <v>6607.6997894736887</v>
      </c>
    </row>
    <row r="29" spans="1:12">
      <c r="A29" s="4" t="s">
        <v>25</v>
      </c>
      <c r="B29" s="4">
        <f>IFERROR(IRR(B28:L28),NA())</f>
        <v>-5.5159896017992649E-2</v>
      </c>
    </row>
    <row r="30" spans="1:12">
      <c r="A30" s="4"/>
      <c r="B30" s="3"/>
    </row>
    <row r="31" spans="1:12">
      <c r="A31" t="s">
        <v>41</v>
      </c>
      <c r="B31" s="4">
        <v>0.15</v>
      </c>
    </row>
    <row r="32" spans="1:12">
      <c r="A32" t="s">
        <v>61</v>
      </c>
      <c r="B32" s="3">
        <f>$B$12*(1-B31)</f>
        <v>42500</v>
      </c>
    </row>
    <row r="33" spans="1:12">
      <c r="A33" s="4" t="s">
        <v>62</v>
      </c>
      <c r="B33" s="3">
        <f>-B32</f>
        <v>-42500</v>
      </c>
      <c r="C33" s="3">
        <f>$C$21</f>
        <v>6607.6997894736887</v>
      </c>
      <c r="D33" s="3">
        <f>$D$21</f>
        <v>6607.6997894736887</v>
      </c>
      <c r="E33" s="3">
        <f>$E$21</f>
        <v>6607.6997894736887</v>
      </c>
      <c r="F33" s="3">
        <f>$F$21</f>
        <v>6607.6997894736887</v>
      </c>
      <c r="G33" s="3">
        <f>$G$21</f>
        <v>-28392.300210526311</v>
      </c>
      <c r="H33" s="3">
        <f>$H$21</f>
        <v>6607.6997894736887</v>
      </c>
      <c r="I33" s="3">
        <f>$I$21</f>
        <v>6607.6997894736887</v>
      </c>
      <c r="J33" s="3">
        <f>$J$21</f>
        <v>6607.6997894736887</v>
      </c>
      <c r="K33" s="3">
        <f>$K$21</f>
        <v>6607.6997894736887</v>
      </c>
      <c r="L33" s="3">
        <f>$L$21</f>
        <v>6607.6997894736887</v>
      </c>
    </row>
    <row r="34" spans="1:12">
      <c r="A34" s="4" t="s">
        <v>25</v>
      </c>
      <c r="B34" s="4">
        <f>IFERROR(IRR(B33:L33),NA())</f>
        <v>-4.7302926219755181E-2</v>
      </c>
    </row>
    <row r="35" spans="1:12">
      <c r="A35" s="4"/>
      <c r="B35" s="3"/>
    </row>
    <row r="36" spans="1:12">
      <c r="A36" t="s">
        <v>41</v>
      </c>
      <c r="B36" s="4">
        <v>0.2</v>
      </c>
    </row>
    <row r="37" spans="1:12">
      <c r="A37" t="s">
        <v>61</v>
      </c>
      <c r="B37" s="3">
        <f>$B$12*(1-B36)</f>
        <v>40000</v>
      </c>
    </row>
    <row r="38" spans="1:12">
      <c r="A38" s="4" t="s">
        <v>62</v>
      </c>
      <c r="B38" s="3">
        <f>-B37</f>
        <v>-40000</v>
      </c>
      <c r="C38" s="3">
        <f>$C$21</f>
        <v>6607.6997894736887</v>
      </c>
      <c r="D38" s="3">
        <f>$D$21</f>
        <v>6607.6997894736887</v>
      </c>
      <c r="E38" s="3">
        <f>$E$21</f>
        <v>6607.6997894736887</v>
      </c>
      <c r="F38" s="3">
        <f>$F$21</f>
        <v>6607.6997894736887</v>
      </c>
      <c r="G38" s="3">
        <f>$G$21</f>
        <v>-28392.300210526311</v>
      </c>
      <c r="H38" s="3">
        <f>$H$21</f>
        <v>6607.6997894736887</v>
      </c>
      <c r="I38" s="3">
        <f>$I$21</f>
        <v>6607.6997894736887</v>
      </c>
      <c r="J38" s="3">
        <f>$J$21</f>
        <v>6607.6997894736887</v>
      </c>
      <c r="K38" s="3">
        <f>$K$21</f>
        <v>6607.6997894736887</v>
      </c>
      <c r="L38" s="3">
        <f>$L$21</f>
        <v>6607.6997894736887</v>
      </c>
    </row>
    <row r="39" spans="1:12">
      <c r="A39" s="4" t="s">
        <v>25</v>
      </c>
      <c r="B39" s="4">
        <f>IFERROR(IRR(B38:L38),NA())</f>
        <v>-3.87371707085159E-2</v>
      </c>
    </row>
    <row r="41" spans="1:12">
      <c r="A41" t="s">
        <v>41</v>
      </c>
      <c r="B41" s="4">
        <v>0.25</v>
      </c>
    </row>
    <row r="42" spans="1:12">
      <c r="A42" t="s">
        <v>61</v>
      </c>
      <c r="B42" s="3">
        <f>$B$12*(1-B41)</f>
        <v>37500</v>
      </c>
    </row>
    <row r="43" spans="1:12">
      <c r="A43" s="4" t="s">
        <v>62</v>
      </c>
      <c r="B43" s="3">
        <f>-B42</f>
        <v>-37500</v>
      </c>
      <c r="C43" s="3">
        <f>$C$21</f>
        <v>6607.6997894736887</v>
      </c>
      <c r="D43" s="3">
        <f>$D$21</f>
        <v>6607.6997894736887</v>
      </c>
      <c r="E43" s="3">
        <f>$E$21</f>
        <v>6607.6997894736887</v>
      </c>
      <c r="F43" s="3">
        <f>$F$21</f>
        <v>6607.6997894736887</v>
      </c>
      <c r="G43" s="3">
        <f>$G$21</f>
        <v>-28392.300210526311</v>
      </c>
      <c r="H43" s="3">
        <f>$H$21</f>
        <v>6607.6997894736887</v>
      </c>
      <c r="I43" s="3">
        <f>$I$21</f>
        <v>6607.6997894736887</v>
      </c>
      <c r="J43" s="3">
        <f>$J$21</f>
        <v>6607.6997894736887</v>
      </c>
      <c r="K43" s="3">
        <f>$K$21</f>
        <v>6607.6997894736887</v>
      </c>
      <c r="L43" s="3">
        <f>$L$21</f>
        <v>6607.6997894736887</v>
      </c>
    </row>
    <row r="44" spans="1:12">
      <c r="A44" s="4" t="s">
        <v>25</v>
      </c>
      <c r="B44" s="4">
        <f>IFERROR(IRR(B43:L43),NA())</f>
        <v>-2.9332733224651908E-2</v>
      </c>
    </row>
    <row r="46" spans="1:12">
      <c r="A46" t="s">
        <v>41</v>
      </c>
      <c r="B46" s="4">
        <v>0.3</v>
      </c>
    </row>
    <row r="47" spans="1:12">
      <c r="A47" t="s">
        <v>61</v>
      </c>
      <c r="B47" s="3">
        <f>$B$12*(1-B46)</f>
        <v>35000</v>
      </c>
    </row>
    <row r="48" spans="1:12">
      <c r="A48" s="4" t="s">
        <v>62</v>
      </c>
      <c r="B48" s="3">
        <f>-B47</f>
        <v>-35000</v>
      </c>
      <c r="C48" s="3">
        <f>$C$21</f>
        <v>6607.6997894736887</v>
      </c>
      <c r="D48" s="3">
        <f>$D$21</f>
        <v>6607.6997894736887</v>
      </c>
      <c r="E48" s="3">
        <f>$E$21</f>
        <v>6607.6997894736887</v>
      </c>
      <c r="F48" s="3">
        <f>$F$21</f>
        <v>6607.6997894736887</v>
      </c>
      <c r="G48" s="3">
        <f>$G$21</f>
        <v>-28392.300210526311</v>
      </c>
      <c r="H48" s="3">
        <f>$H$21</f>
        <v>6607.6997894736887</v>
      </c>
      <c r="I48" s="3">
        <f>$I$21</f>
        <v>6607.6997894736887</v>
      </c>
      <c r="J48" s="3">
        <f>$J$21</f>
        <v>6607.6997894736887</v>
      </c>
      <c r="K48" s="3">
        <f>$K$21</f>
        <v>6607.6997894736887</v>
      </c>
      <c r="L48" s="3">
        <f>$L$21</f>
        <v>6607.6997894736887</v>
      </c>
    </row>
    <row r="49" spans="1:12">
      <c r="A49" s="4" t="s">
        <v>25</v>
      </c>
      <c r="B49" s="4">
        <f>IFERROR(IRR(B48:L48),NA())</f>
        <v>-1.8921903754681169E-2</v>
      </c>
    </row>
    <row r="51" spans="1:12">
      <c r="A51" t="s">
        <v>41</v>
      </c>
      <c r="B51" s="4">
        <v>0.35</v>
      </c>
    </row>
    <row r="52" spans="1:12">
      <c r="A52" t="s">
        <v>61</v>
      </c>
      <c r="B52" s="3">
        <f>$B$12*(1-B51)</f>
        <v>32500</v>
      </c>
    </row>
    <row r="53" spans="1:12">
      <c r="A53" s="4" t="s">
        <v>62</v>
      </c>
      <c r="B53" s="3">
        <f>-B52</f>
        <v>-32500</v>
      </c>
      <c r="C53" s="3">
        <f>$C$21</f>
        <v>6607.6997894736887</v>
      </c>
      <c r="D53" s="3">
        <f>$D$21</f>
        <v>6607.6997894736887</v>
      </c>
      <c r="E53" s="3">
        <f>$E$21</f>
        <v>6607.6997894736887</v>
      </c>
      <c r="F53" s="3">
        <f>$F$21</f>
        <v>6607.6997894736887</v>
      </c>
      <c r="G53" s="3">
        <f>$G$21</f>
        <v>-28392.300210526311</v>
      </c>
      <c r="H53" s="3">
        <f>$H$21</f>
        <v>6607.6997894736887</v>
      </c>
      <c r="I53" s="3">
        <f>$I$21</f>
        <v>6607.6997894736887</v>
      </c>
      <c r="J53" s="3">
        <f>$J$21</f>
        <v>6607.6997894736887</v>
      </c>
      <c r="K53" s="3">
        <f>$K$21</f>
        <v>6607.6997894736887</v>
      </c>
      <c r="L53" s="3">
        <f>$L$21</f>
        <v>6607.6997894736887</v>
      </c>
    </row>
    <row r="54" spans="1:12">
      <c r="A54" s="4" t="s">
        <v>25</v>
      </c>
      <c r="B54" s="4">
        <f>IFERROR(IRR(B53:L53),NA())</f>
        <v>-7.2833514162327084E-3</v>
      </c>
    </row>
    <row r="56" spans="1:12">
      <c r="A56" t="s">
        <v>41</v>
      </c>
      <c r="B56" s="4">
        <v>0.4</v>
      </c>
    </row>
    <row r="57" spans="1:12">
      <c r="A57" t="s">
        <v>61</v>
      </c>
      <c r="B57" s="3">
        <f>$B$12*(1-B56)</f>
        <v>30000</v>
      </c>
    </row>
    <row r="58" spans="1:12">
      <c r="A58" s="4" t="s">
        <v>62</v>
      </c>
      <c r="B58" s="3">
        <f>-B57</f>
        <v>-30000</v>
      </c>
      <c r="C58" s="3">
        <f>$C$21</f>
        <v>6607.6997894736887</v>
      </c>
      <c r="D58" s="3">
        <f>$D$21</f>
        <v>6607.6997894736887</v>
      </c>
      <c r="E58" s="3">
        <f>$E$21</f>
        <v>6607.6997894736887</v>
      </c>
      <c r="F58" s="3">
        <f>$F$21</f>
        <v>6607.6997894736887</v>
      </c>
      <c r="G58" s="3">
        <f>$G$21</f>
        <v>-28392.300210526311</v>
      </c>
      <c r="H58" s="3">
        <f>$H$21</f>
        <v>6607.6997894736887</v>
      </c>
      <c r="I58" s="3">
        <f>$I$21</f>
        <v>6607.6997894736887</v>
      </c>
      <c r="J58" s="3">
        <f>$J$21</f>
        <v>6607.6997894736887</v>
      </c>
      <c r="K58" s="3">
        <f>$K$21</f>
        <v>6607.6997894736887</v>
      </c>
      <c r="L58" s="3">
        <f>$L$21</f>
        <v>6607.6997894736887</v>
      </c>
    </row>
    <row r="59" spans="1:12">
      <c r="A59" s="4" t="s">
        <v>25</v>
      </c>
      <c r="B59" s="4">
        <f>IFERROR(IRR(B58:L58),NA())</f>
        <v>5.8826879585118785E-3</v>
      </c>
    </row>
    <row r="61" spans="1:12">
      <c r="A61" t="s">
        <v>41</v>
      </c>
      <c r="B61" s="4">
        <v>0.45</v>
      </c>
    </row>
    <row r="62" spans="1:12">
      <c r="A62" t="s">
        <v>61</v>
      </c>
      <c r="B62" s="3">
        <f>$B$12*(1-B61)</f>
        <v>27500.000000000004</v>
      </c>
    </row>
    <row r="63" spans="1:12">
      <c r="A63" s="4" t="s">
        <v>62</v>
      </c>
      <c r="B63" s="3">
        <f>-B62</f>
        <v>-27500.000000000004</v>
      </c>
      <c r="C63" s="3">
        <f>$C$21</f>
        <v>6607.6997894736887</v>
      </c>
      <c r="D63" s="3">
        <f>$D$21</f>
        <v>6607.6997894736887</v>
      </c>
      <c r="E63" s="3">
        <f>$E$21</f>
        <v>6607.6997894736887</v>
      </c>
      <c r="F63" s="3">
        <f>$F$21</f>
        <v>6607.6997894736887</v>
      </c>
      <c r="G63" s="3">
        <f>$G$21</f>
        <v>-28392.300210526311</v>
      </c>
      <c r="H63" s="3">
        <f>$H$21</f>
        <v>6607.6997894736887</v>
      </c>
      <c r="I63" s="3">
        <f>$I$21</f>
        <v>6607.6997894736887</v>
      </c>
      <c r="J63" s="3">
        <f>$J$21</f>
        <v>6607.6997894736887</v>
      </c>
      <c r="K63" s="3">
        <f>$K$21</f>
        <v>6607.6997894736887</v>
      </c>
      <c r="L63" s="3">
        <f>$L$21</f>
        <v>6607.6997894736887</v>
      </c>
    </row>
    <row r="64" spans="1:12">
      <c r="A64" s="4" t="s">
        <v>25</v>
      </c>
      <c r="B64" s="4">
        <f>IFERROR(IRR(B63:L63),NA())</f>
        <v>2.0995019008860583E-2</v>
      </c>
    </row>
    <row r="66" spans="1:12">
      <c r="A66" t="s">
        <v>41</v>
      </c>
      <c r="B66" s="4">
        <v>0.5</v>
      </c>
    </row>
    <row r="67" spans="1:12">
      <c r="A67" t="s">
        <v>61</v>
      </c>
      <c r="B67" s="3">
        <f>$B$12*(1-B66)</f>
        <v>25000</v>
      </c>
    </row>
    <row r="68" spans="1:12">
      <c r="A68" s="4" t="s">
        <v>62</v>
      </c>
      <c r="B68" s="3">
        <f>-B67</f>
        <v>-25000</v>
      </c>
      <c r="C68" s="3">
        <f>$C$21</f>
        <v>6607.6997894736887</v>
      </c>
      <c r="D68" s="3">
        <f>$D$21</f>
        <v>6607.6997894736887</v>
      </c>
      <c r="E68" s="3">
        <f>$E$21</f>
        <v>6607.6997894736887</v>
      </c>
      <c r="F68" s="3">
        <f>$F$21</f>
        <v>6607.6997894736887</v>
      </c>
      <c r="G68" s="3">
        <f>$G$21</f>
        <v>-28392.300210526311</v>
      </c>
      <c r="H68" s="3">
        <f>$H$21</f>
        <v>6607.6997894736887</v>
      </c>
      <c r="I68" s="3">
        <f>$I$21</f>
        <v>6607.6997894736887</v>
      </c>
      <c r="J68" s="3">
        <f>$J$21</f>
        <v>6607.6997894736887</v>
      </c>
      <c r="K68" s="3">
        <f>$K$21</f>
        <v>6607.6997894736887</v>
      </c>
      <c r="L68" s="3">
        <f>$L$21</f>
        <v>6607.6997894736887</v>
      </c>
    </row>
    <row r="69" spans="1:12">
      <c r="A69" s="4" t="s">
        <v>25</v>
      </c>
      <c r="B69" s="4">
        <f>IFERROR(IRR(B68:L68),NA())</f>
        <v>3.8661343826197569E-2</v>
      </c>
    </row>
    <row r="71" spans="1:12">
      <c r="A71" t="s">
        <v>41</v>
      </c>
      <c r="B71" s="4">
        <v>0.55000000000000004</v>
      </c>
    </row>
    <row r="72" spans="1:12">
      <c r="A72" t="s">
        <v>61</v>
      </c>
      <c r="B72" s="3">
        <f>$B$12*(1-B71)</f>
        <v>22499.999999999996</v>
      </c>
    </row>
    <row r="73" spans="1:12">
      <c r="A73" s="4" t="s">
        <v>62</v>
      </c>
      <c r="B73" s="3">
        <f>-B72</f>
        <v>-22499.999999999996</v>
      </c>
      <c r="C73" s="3">
        <f>$C$21</f>
        <v>6607.6997894736887</v>
      </c>
      <c r="D73" s="3">
        <f>$D$21</f>
        <v>6607.6997894736887</v>
      </c>
      <c r="E73" s="3">
        <f>$E$21</f>
        <v>6607.6997894736887</v>
      </c>
      <c r="F73" s="3">
        <f>$F$21</f>
        <v>6607.6997894736887</v>
      </c>
      <c r="G73" s="3">
        <f>$G$21</f>
        <v>-28392.300210526311</v>
      </c>
      <c r="H73" s="3">
        <f>$H$21</f>
        <v>6607.6997894736887</v>
      </c>
      <c r="I73" s="3">
        <f>$I$21</f>
        <v>6607.6997894736887</v>
      </c>
      <c r="J73" s="3">
        <f>$J$21</f>
        <v>6607.6997894736887</v>
      </c>
      <c r="K73" s="3">
        <f>$K$21</f>
        <v>6607.6997894736887</v>
      </c>
      <c r="L73" s="3">
        <f>$L$21</f>
        <v>6607.6997894736887</v>
      </c>
    </row>
    <row r="74" spans="1:12">
      <c r="A74" s="4" t="s">
        <v>25</v>
      </c>
      <c r="B74" s="4">
        <f>IFERROR(IRR(B73:L73),NA())</f>
        <v>5.9805945886397316E-2</v>
      </c>
    </row>
    <row r="76" spans="1:12">
      <c r="A76" t="s">
        <v>41</v>
      </c>
      <c r="B76" s="4">
        <v>0.6</v>
      </c>
    </row>
    <row r="77" spans="1:12">
      <c r="A77" t="s">
        <v>61</v>
      </c>
      <c r="B77" s="3">
        <f>$B$12*(1-B76)</f>
        <v>20000</v>
      </c>
    </row>
    <row r="78" spans="1:12">
      <c r="A78" s="4" t="s">
        <v>62</v>
      </c>
      <c r="B78" s="3">
        <f>-B77</f>
        <v>-20000</v>
      </c>
      <c r="C78" s="3">
        <f>$C$21</f>
        <v>6607.6997894736887</v>
      </c>
      <c r="D78" s="3">
        <f>$D$21</f>
        <v>6607.6997894736887</v>
      </c>
      <c r="E78" s="3">
        <f>$E$21</f>
        <v>6607.6997894736887</v>
      </c>
      <c r="F78" s="3">
        <f>$F$21</f>
        <v>6607.6997894736887</v>
      </c>
      <c r="G78" s="3">
        <f>$G$21</f>
        <v>-28392.300210526311</v>
      </c>
      <c r="H78" s="3">
        <f>$H$21</f>
        <v>6607.6997894736887</v>
      </c>
      <c r="I78" s="3">
        <f>$I$21</f>
        <v>6607.6997894736887</v>
      </c>
      <c r="J78" s="3">
        <f>$J$21</f>
        <v>6607.6997894736887</v>
      </c>
      <c r="K78" s="3">
        <f>$K$21</f>
        <v>6607.6997894736887</v>
      </c>
      <c r="L78" s="3">
        <f>$L$21</f>
        <v>6607.6997894736887</v>
      </c>
    </row>
    <row r="79" spans="1:12">
      <c r="A79" s="4" t="s">
        <v>25</v>
      </c>
      <c r="B79" s="4">
        <f>IFERROR(IRR(B78:L78),NA())</f>
        <v>8.5921194019466185E-2</v>
      </c>
    </row>
    <row r="81" spans="1:12">
      <c r="A81" t="s">
        <v>41</v>
      </c>
      <c r="B81" s="4">
        <v>0.65</v>
      </c>
    </row>
    <row r="82" spans="1:12">
      <c r="A82" t="s">
        <v>61</v>
      </c>
      <c r="B82" s="3">
        <f>$B$12*(1-B81)</f>
        <v>17500</v>
      </c>
    </row>
    <row r="83" spans="1:12">
      <c r="A83" s="4" t="s">
        <v>62</v>
      </c>
      <c r="B83" s="3">
        <f>-B82</f>
        <v>-17500</v>
      </c>
      <c r="C83" s="3">
        <f>$C$21</f>
        <v>6607.6997894736887</v>
      </c>
      <c r="D83" s="3">
        <f>$D$21</f>
        <v>6607.6997894736887</v>
      </c>
      <c r="E83" s="3">
        <f>$E$21</f>
        <v>6607.6997894736887</v>
      </c>
      <c r="F83" s="3">
        <f>$F$21</f>
        <v>6607.6997894736887</v>
      </c>
      <c r="G83" s="3">
        <f>$G$21</f>
        <v>-28392.300210526311</v>
      </c>
      <c r="H83" s="3">
        <f>$H$21</f>
        <v>6607.6997894736887</v>
      </c>
      <c r="I83" s="3">
        <f>$I$21</f>
        <v>6607.6997894736887</v>
      </c>
      <c r="J83" s="3">
        <f>$J$21</f>
        <v>6607.6997894736887</v>
      </c>
      <c r="K83" s="3">
        <f>$K$21</f>
        <v>6607.6997894736887</v>
      </c>
      <c r="L83" s="3">
        <f>$L$21</f>
        <v>6607.6997894736887</v>
      </c>
    </row>
    <row r="84" spans="1:12">
      <c r="A84" s="4" t="s">
        <v>25</v>
      </c>
      <c r="B84" s="4">
        <f>IFERROR(IRR(B83:L83),NA())</f>
        <v>0.11961159252200337</v>
      </c>
    </row>
    <row r="86" spans="1:12">
      <c r="A86" t="s">
        <v>41</v>
      </c>
      <c r="B86" s="4">
        <v>0.7</v>
      </c>
    </row>
    <row r="87" spans="1:12">
      <c r="A87" t="s">
        <v>61</v>
      </c>
      <c r="B87" s="3">
        <f>$B$12*(1-B86)</f>
        <v>15000.000000000002</v>
      </c>
    </row>
    <row r="88" spans="1:12">
      <c r="A88" s="4" t="s">
        <v>62</v>
      </c>
      <c r="B88" s="3">
        <f>-B87</f>
        <v>-15000.000000000002</v>
      </c>
      <c r="C88" s="3">
        <f>$C$21</f>
        <v>6607.6997894736887</v>
      </c>
      <c r="D88" s="3">
        <f>$D$21</f>
        <v>6607.6997894736887</v>
      </c>
      <c r="E88" s="3">
        <f>$E$21</f>
        <v>6607.6997894736887</v>
      </c>
      <c r="F88" s="3">
        <f>$F$21</f>
        <v>6607.6997894736887</v>
      </c>
      <c r="G88" s="3">
        <f>$G$21</f>
        <v>-28392.300210526311</v>
      </c>
      <c r="H88" s="3">
        <f>$H$21</f>
        <v>6607.6997894736887</v>
      </c>
      <c r="I88" s="3">
        <f>$I$21</f>
        <v>6607.6997894736887</v>
      </c>
      <c r="J88" s="3">
        <f>$J$21</f>
        <v>6607.6997894736887</v>
      </c>
      <c r="K88" s="3">
        <f>$K$21</f>
        <v>6607.6997894736887</v>
      </c>
      <c r="L88" s="3">
        <f>$L$21</f>
        <v>6607.6997894736887</v>
      </c>
    </row>
    <row r="89" spans="1:12">
      <c r="A89" s="4" t="s">
        <v>25</v>
      </c>
      <c r="B89" s="4">
        <f>IFERROR(IRR(B88:L88),NA())</f>
        <v>0.16591781125145011</v>
      </c>
    </row>
    <row r="91" spans="1:12">
      <c r="A91" t="s">
        <v>41</v>
      </c>
      <c r="B91" s="4">
        <v>0.75</v>
      </c>
    </row>
    <row r="92" spans="1:12">
      <c r="A92" t="s">
        <v>61</v>
      </c>
      <c r="B92" s="3">
        <f>$B$12*(1-B91)</f>
        <v>12500</v>
      </c>
    </row>
    <row r="93" spans="1:12">
      <c r="A93" s="4" t="s">
        <v>62</v>
      </c>
      <c r="B93" s="3">
        <f>-B92</f>
        <v>-12500</v>
      </c>
      <c r="C93" s="3">
        <f>$C$21</f>
        <v>6607.6997894736887</v>
      </c>
      <c r="D93" s="3">
        <f>$D$21</f>
        <v>6607.6997894736887</v>
      </c>
      <c r="E93" s="3">
        <f>$E$21</f>
        <v>6607.6997894736887</v>
      </c>
      <c r="F93" s="3">
        <f>$F$21</f>
        <v>6607.6997894736887</v>
      </c>
      <c r="G93" s="3">
        <f>$G$21</f>
        <v>-28392.300210526311</v>
      </c>
      <c r="H93" s="3">
        <f>$H$21</f>
        <v>6607.6997894736887</v>
      </c>
      <c r="I93" s="3">
        <f>$I$21</f>
        <v>6607.6997894736887</v>
      </c>
      <c r="J93" s="3">
        <f>$J$21</f>
        <v>6607.6997894736887</v>
      </c>
      <c r="K93" s="3">
        <f>$K$21</f>
        <v>6607.6997894736887</v>
      </c>
      <c r="L93" s="3">
        <f>$L$21</f>
        <v>6607.6997894736887</v>
      </c>
    </row>
    <row r="94" spans="1:12">
      <c r="A94" s="4" t="s">
        <v>25</v>
      </c>
      <c r="B94" s="4">
        <f>IFERROR(IRR(B93:L93),NA())</f>
        <v>0.23602715946887054</v>
      </c>
    </row>
    <row r="96" spans="1:12">
      <c r="A96" t="s">
        <v>41</v>
      </c>
      <c r="B96" s="4">
        <v>0.8</v>
      </c>
    </row>
    <row r="97" spans="1:12">
      <c r="A97" t="s">
        <v>61</v>
      </c>
      <c r="B97" s="3">
        <f>$B$12*(1-B96)</f>
        <v>9999.9999999999982</v>
      </c>
    </row>
    <row r="98" spans="1:12">
      <c r="A98" s="4" t="s">
        <v>62</v>
      </c>
      <c r="B98" s="3">
        <f>-B97</f>
        <v>-9999.9999999999982</v>
      </c>
      <c r="C98" s="3">
        <f>$C$21</f>
        <v>6607.6997894736887</v>
      </c>
      <c r="D98" s="3">
        <f>$D$21</f>
        <v>6607.6997894736887</v>
      </c>
      <c r="E98" s="3">
        <f>$E$21</f>
        <v>6607.6997894736887</v>
      </c>
      <c r="F98" s="3">
        <f>$F$21</f>
        <v>6607.6997894736887</v>
      </c>
      <c r="G98" s="3">
        <f>$G$21</f>
        <v>-28392.300210526311</v>
      </c>
      <c r="H98" s="3">
        <f>$H$21</f>
        <v>6607.6997894736887</v>
      </c>
      <c r="I98" s="3">
        <f>$I$21</f>
        <v>6607.6997894736887</v>
      </c>
      <c r="J98" s="3">
        <f>$J$21</f>
        <v>6607.6997894736887</v>
      </c>
      <c r="K98" s="3">
        <f>$K$21</f>
        <v>6607.6997894736887</v>
      </c>
      <c r="L98" s="3">
        <f>$L$21</f>
        <v>6607.6997894736887</v>
      </c>
    </row>
    <row r="99" spans="1:12">
      <c r="A99" s="4" t="s">
        <v>25</v>
      </c>
      <c r="B99" s="4">
        <f>IFERROR(IRR(B98:L98),NA())</f>
        <v>0.35892354614035216</v>
      </c>
    </row>
    <row r="101" spans="1:12">
      <c r="A101" t="s">
        <v>41</v>
      </c>
      <c r="B101" s="4">
        <v>0.85</v>
      </c>
    </row>
    <row r="102" spans="1:12">
      <c r="A102" t="s">
        <v>61</v>
      </c>
      <c r="B102" s="3">
        <f>$B$12*(1-B101)</f>
        <v>7500.0000000000009</v>
      </c>
    </row>
    <row r="103" spans="1:12">
      <c r="A103" s="4" t="s">
        <v>62</v>
      </c>
      <c r="B103" s="3">
        <f>-B102</f>
        <v>-7500.0000000000009</v>
      </c>
      <c r="C103" s="3">
        <f>$C$21</f>
        <v>6607.6997894736887</v>
      </c>
      <c r="D103" s="3">
        <f>$D$21</f>
        <v>6607.6997894736887</v>
      </c>
      <c r="E103" s="3">
        <f>$E$21</f>
        <v>6607.6997894736887</v>
      </c>
      <c r="F103" s="3">
        <f>$F$21</f>
        <v>6607.6997894736887</v>
      </c>
      <c r="G103" s="3">
        <f>$G$21</f>
        <v>-28392.300210526311</v>
      </c>
      <c r="H103" s="3">
        <f>$H$21</f>
        <v>6607.6997894736887</v>
      </c>
      <c r="I103" s="3">
        <f>$I$21</f>
        <v>6607.6997894736887</v>
      </c>
      <c r="J103" s="3">
        <f>$J$21</f>
        <v>6607.6997894736887</v>
      </c>
      <c r="K103" s="3">
        <f>$K$21</f>
        <v>6607.6997894736887</v>
      </c>
      <c r="L103" s="3">
        <f>$L$21</f>
        <v>6607.6997894736887</v>
      </c>
    </row>
    <row r="104" spans="1:12">
      <c r="A104" s="4" t="s">
        <v>25</v>
      </c>
      <c r="B104" s="4">
        <f>IFERROR(IRR(B103:L103),NA())</f>
        <v>0.61060856391950735</v>
      </c>
    </row>
    <row r="106" spans="1:12">
      <c r="A106" t="s">
        <v>41</v>
      </c>
      <c r="B106" s="4">
        <v>0.9</v>
      </c>
    </row>
    <row r="107" spans="1:12">
      <c r="A107" t="s">
        <v>61</v>
      </c>
      <c r="B107" s="3">
        <f>$B$12*(1-B106)</f>
        <v>4999.9999999999991</v>
      </c>
    </row>
    <row r="108" spans="1:12">
      <c r="A108" s="4" t="s">
        <v>62</v>
      </c>
      <c r="B108" s="3">
        <f>-B107</f>
        <v>-4999.9999999999991</v>
      </c>
      <c r="C108" s="3">
        <f>$C$21</f>
        <v>6607.6997894736887</v>
      </c>
      <c r="D108" s="3">
        <f>$D$21</f>
        <v>6607.6997894736887</v>
      </c>
      <c r="E108" s="3">
        <f>$E$21</f>
        <v>6607.6997894736887</v>
      </c>
      <c r="F108" s="3">
        <f>$F$21</f>
        <v>6607.6997894736887</v>
      </c>
      <c r="G108" s="3">
        <f>$G$21</f>
        <v>-28392.300210526311</v>
      </c>
      <c r="H108" s="3">
        <f>$H$21</f>
        <v>6607.6997894736887</v>
      </c>
      <c r="I108" s="3">
        <f>$I$21</f>
        <v>6607.6997894736887</v>
      </c>
      <c r="J108" s="3">
        <f>$J$21</f>
        <v>6607.6997894736887</v>
      </c>
      <c r="K108" s="3">
        <f>$K$21</f>
        <v>6607.6997894736887</v>
      </c>
      <c r="L108" s="3">
        <f>$L$21</f>
        <v>6607.6997894736887</v>
      </c>
    </row>
    <row r="109" spans="1:12">
      <c r="A109" s="4" t="s">
        <v>25</v>
      </c>
      <c r="B109" s="4">
        <f>IFERROR(IRR(B108:L108),NA())</f>
        <v>1.144175103708406</v>
      </c>
    </row>
    <row r="111" spans="1:12">
      <c r="A111" t="s">
        <v>41</v>
      </c>
      <c r="B111" s="4">
        <v>0.95</v>
      </c>
    </row>
    <row r="112" spans="1:12">
      <c r="A112" t="s">
        <v>61</v>
      </c>
      <c r="B112" s="3">
        <f>$B$12*(1-B111)</f>
        <v>2500.0000000000023</v>
      </c>
    </row>
    <row r="113" spans="1:20">
      <c r="A113" s="4" t="s">
        <v>62</v>
      </c>
      <c r="B113" s="3">
        <f>-B112</f>
        <v>-2500.0000000000023</v>
      </c>
      <c r="C113" s="3">
        <f>$C$21</f>
        <v>6607.6997894736887</v>
      </c>
      <c r="D113" s="3">
        <f>$D$21</f>
        <v>6607.6997894736887</v>
      </c>
      <c r="E113" s="3">
        <f>$E$21</f>
        <v>6607.6997894736887</v>
      </c>
      <c r="F113" s="3">
        <f>$F$21</f>
        <v>6607.6997894736887</v>
      </c>
      <c r="G113" s="3">
        <f>$G$21</f>
        <v>-28392.300210526311</v>
      </c>
      <c r="H113" s="3">
        <f>$H$21</f>
        <v>6607.6997894736887</v>
      </c>
      <c r="I113" s="3">
        <f>$I$21</f>
        <v>6607.6997894736887</v>
      </c>
      <c r="J113" s="3">
        <f>$J$21</f>
        <v>6607.6997894736887</v>
      </c>
      <c r="K113" s="3">
        <f>$K$21</f>
        <v>6607.6997894736887</v>
      </c>
      <c r="L113" s="3">
        <f>$L$21</f>
        <v>6607.6997894736887</v>
      </c>
    </row>
    <row r="114" spans="1:20">
      <c r="A114" s="4" t="s">
        <v>25</v>
      </c>
      <c r="B114" s="4">
        <f>IFERROR(IRR(B113:L113),NA())</f>
        <v>2.5817579210845754</v>
      </c>
    </row>
    <row r="116" spans="1:20">
      <c r="A116" t="s">
        <v>41</v>
      </c>
      <c r="B116" s="4">
        <v>1</v>
      </c>
    </row>
    <row r="117" spans="1:20">
      <c r="A117" t="s">
        <v>61</v>
      </c>
      <c r="B117" s="3">
        <f>$B$12*(1-B116)</f>
        <v>0</v>
      </c>
    </row>
    <row r="118" spans="1:20">
      <c r="A118" s="4" t="s">
        <v>62</v>
      </c>
      <c r="B118" s="3">
        <f>-B117</f>
        <v>0</v>
      </c>
      <c r="C118" s="3">
        <f>$C$21</f>
        <v>6607.6997894736887</v>
      </c>
      <c r="D118" s="3">
        <f>$D$21</f>
        <v>6607.6997894736887</v>
      </c>
      <c r="E118" s="3">
        <f>$E$21</f>
        <v>6607.6997894736887</v>
      </c>
      <c r="F118" s="3">
        <f>$F$21</f>
        <v>6607.6997894736887</v>
      </c>
      <c r="G118" s="3">
        <f>$G$21</f>
        <v>-28392.300210526311</v>
      </c>
      <c r="H118" s="3">
        <f>$H$21</f>
        <v>6607.6997894736887</v>
      </c>
      <c r="I118" s="3">
        <f>$I$21</f>
        <v>6607.6997894736887</v>
      </c>
      <c r="J118" s="3">
        <f>$J$21</f>
        <v>6607.6997894736887</v>
      </c>
      <c r="K118" s="3">
        <f>$K$21</f>
        <v>6607.6997894736887</v>
      </c>
      <c r="L118" s="3">
        <f>$L$21</f>
        <v>6607.6997894736887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63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>
        <f>B29</f>
        <v>-5.5159896017992649E-2</v>
      </c>
      <c r="C124" s="4">
        <f>B34</f>
        <v>-4.7302926219755181E-2</v>
      </c>
      <c r="D124" s="4">
        <f>B39</f>
        <v>-3.87371707085159E-2</v>
      </c>
      <c r="E124" s="4">
        <f>B44</f>
        <v>-2.9332733224651908E-2</v>
      </c>
      <c r="F124" s="4">
        <f>B49</f>
        <v>-1.8921903754681169E-2</v>
      </c>
      <c r="G124" s="4">
        <f>B54</f>
        <v>-7.2833514162327084E-3</v>
      </c>
      <c r="H124" s="4">
        <f>B59</f>
        <v>5.8826879585118785E-3</v>
      </c>
      <c r="I124" s="4">
        <f>B64</f>
        <v>2.0995019008860583E-2</v>
      </c>
      <c r="J124" s="4">
        <f>B69</f>
        <v>3.8661343826197569E-2</v>
      </c>
      <c r="K124" s="4">
        <f>B74</f>
        <v>5.9805945886397316E-2</v>
      </c>
      <c r="L124" s="4">
        <f>B79</f>
        <v>8.5921194019466185E-2</v>
      </c>
      <c r="M124" s="4">
        <f>B84</f>
        <v>0.11961159252200337</v>
      </c>
      <c r="N124" s="4">
        <f>B89</f>
        <v>0.16591781125145011</v>
      </c>
      <c r="O124" s="4">
        <f>B94</f>
        <v>0.23602715946887054</v>
      </c>
      <c r="P124" s="4">
        <f>B99</f>
        <v>0.35892354614035216</v>
      </c>
      <c r="Q124" s="4">
        <f>B104</f>
        <v>0.61060856391950735</v>
      </c>
      <c r="R124" s="4">
        <f>B109</f>
        <v>1.144175103708406</v>
      </c>
      <c r="S124" s="4">
        <f>B114</f>
        <v>2.5817579210845754</v>
      </c>
      <c r="T124" s="4" t="e">
        <f>B119</f>
        <v>#N/A</v>
      </c>
    </row>
    <row r="125" spans="1:20">
      <c r="A125" t="s">
        <v>64</v>
      </c>
      <c r="B125" s="4">
        <f>LOOKUP('IRR inputs &amp; outputs'!B18, B124:P124, B123:P123)</f>
        <v>0.5</v>
      </c>
    </row>
    <row r="126" spans="1:20">
      <c r="A126" t="s">
        <v>65</v>
      </c>
      <c r="B126" s="4">
        <f>LOOKUP('IRR inputs &amp; outputs'!B19, B124:P124, B123:P123)</f>
        <v>0.65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EEA1D-6AF8-4DC9-9907-61A654EC25C4}">
  <dimension ref="A1:T126"/>
  <sheetViews>
    <sheetView workbookViewId="0">
      <selection activeCell="A17" sqref="A17"/>
    </sheetView>
  </sheetViews>
  <sheetFormatPr defaultRowHeight="14.25"/>
  <cols>
    <col min="1" max="1" width="20" customWidth="1"/>
  </cols>
  <sheetData>
    <row r="1" spans="1:15">
      <c r="A1" s="1" t="s">
        <v>24</v>
      </c>
      <c r="B1" s="28">
        <v>0.125</v>
      </c>
    </row>
    <row r="2" spans="1:15">
      <c r="A2" t="s">
        <v>44</v>
      </c>
      <c r="B2">
        <f>24*365</f>
        <v>8760</v>
      </c>
    </row>
    <row r="3" spans="1:15">
      <c r="A3" t="s">
        <v>45</v>
      </c>
      <c r="B3">
        <f>B2*B1*'IRR inputs &amp; outputs'!B2*'IRR inputs &amp; outputs'!B3*'IRR inputs &amp; outputs'!$B$7</f>
        <v>54312</v>
      </c>
      <c r="C3" t="s">
        <v>46</v>
      </c>
    </row>
    <row r="5" spans="1:15">
      <c r="A5" s="1" t="s">
        <v>47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48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49</v>
      </c>
      <c r="B7" s="2"/>
      <c r="C7" s="2">
        <f>$B$3*'IRR inputs &amp; outputs'!$B$13</f>
        <v>29871.600000000002</v>
      </c>
      <c r="D7" s="2">
        <f>$B$3*'IRR inputs &amp; outputs'!$B$13</f>
        <v>29871.600000000002</v>
      </c>
      <c r="E7" s="2">
        <f>$B$3*'IRR inputs &amp; outputs'!$B$13</f>
        <v>29871.600000000002</v>
      </c>
      <c r="F7" s="2">
        <f>$B$3*'IRR inputs &amp; outputs'!$B$13</f>
        <v>29871.600000000002</v>
      </c>
      <c r="G7" s="2">
        <f>$B$3*'IRR inputs &amp; outputs'!$B$13</f>
        <v>29871.600000000002</v>
      </c>
      <c r="H7" s="2">
        <f>$B$3*'IRR inputs &amp; outputs'!$B$13</f>
        <v>29871.600000000002</v>
      </c>
      <c r="I7" s="2">
        <f>$B$3*'IRR inputs &amp; outputs'!$B$13</f>
        <v>29871.600000000002</v>
      </c>
      <c r="J7" s="2">
        <f>$B$3*'IRR inputs &amp; outputs'!$B$13</f>
        <v>29871.600000000002</v>
      </c>
      <c r="K7" s="2">
        <f>$B$3*'IRR inputs &amp; outputs'!$B$13</f>
        <v>29871.600000000002</v>
      </c>
      <c r="L7" s="2">
        <f>$B$3*'IRR inputs &amp; outputs'!$B$13</f>
        <v>29871.600000000002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50</v>
      </c>
      <c r="B9" s="2"/>
      <c r="C9" s="2">
        <f t="shared" ref="C9:L9" si="0">SUM(C7:C8)</f>
        <v>29871.600000000002</v>
      </c>
      <c r="D9" s="2">
        <f t="shared" si="0"/>
        <v>29871.600000000002</v>
      </c>
      <c r="E9" s="2">
        <f t="shared" si="0"/>
        <v>29871.600000000002</v>
      </c>
      <c r="F9" s="2">
        <f t="shared" si="0"/>
        <v>29871.600000000002</v>
      </c>
      <c r="G9" s="2">
        <f t="shared" si="0"/>
        <v>29871.600000000002</v>
      </c>
      <c r="H9" s="2">
        <f t="shared" si="0"/>
        <v>29871.600000000002</v>
      </c>
      <c r="I9" s="2">
        <f t="shared" si="0"/>
        <v>29871.600000000002</v>
      </c>
      <c r="J9" s="2">
        <f t="shared" si="0"/>
        <v>29871.600000000002</v>
      </c>
      <c r="K9" s="2">
        <f t="shared" si="0"/>
        <v>29871.600000000002</v>
      </c>
      <c r="L9" s="2">
        <f t="shared" si="0"/>
        <v>29871.600000000002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51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50000</v>
      </c>
      <c r="C12" s="2"/>
      <c r="D12" s="2"/>
      <c r="E12" s="2"/>
      <c r="F12" s="2"/>
      <c r="G12" s="2">
        <f>'IRR inputs &amp; outputs'!B15</f>
        <v>35000</v>
      </c>
      <c r="H12" s="2"/>
      <c r="I12" s="2"/>
      <c r="J12" s="2"/>
      <c r="K12" s="2"/>
      <c r="L12" s="2"/>
    </row>
    <row r="13" spans="1:15">
      <c r="A13" t="s">
        <v>52</v>
      </c>
      <c r="B13" s="2">
        <f>'IRR inputs &amp; outputs'!B16</f>
        <v>1000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53</v>
      </c>
      <c r="B14" s="2"/>
      <c r="C14" s="2">
        <f>'IRR inputs &amp; outputs'!$B$17</f>
        <v>5000</v>
      </c>
      <c r="D14" s="2">
        <f>'IRR inputs &amp; outputs'!$B$17</f>
        <v>5000</v>
      </c>
      <c r="E14" s="2">
        <f>'IRR inputs &amp; outputs'!$B$17</f>
        <v>5000</v>
      </c>
      <c r="F14" s="2">
        <f>'IRR inputs &amp; outputs'!$B$17</f>
        <v>5000</v>
      </c>
      <c r="G14" s="2">
        <f>'IRR inputs &amp; outputs'!$B$17</f>
        <v>5000</v>
      </c>
      <c r="H14" s="2">
        <f>'IRR inputs &amp; outputs'!$B$17</f>
        <v>5000</v>
      </c>
      <c r="I14" s="2">
        <f>'IRR inputs &amp; outputs'!$B$17</f>
        <v>5000</v>
      </c>
      <c r="J14" s="2">
        <f>'IRR inputs &amp; outputs'!$B$17</f>
        <v>5000</v>
      </c>
      <c r="K14" s="2">
        <f>'IRR inputs &amp; outputs'!$B$17</f>
        <v>5000</v>
      </c>
      <c r="L14" s="2">
        <f>'IRR inputs &amp; outputs'!$B$17</f>
        <v>5000</v>
      </c>
    </row>
    <row r="15" spans="1:15">
      <c r="A15" t="s">
        <v>54</v>
      </c>
      <c r="B15" s="2"/>
      <c r="C15" s="2">
        <f>'IRR inputs &amp; outputs'!B14</f>
        <v>750</v>
      </c>
      <c r="D15" s="2">
        <f>'IRR inputs &amp; outputs'!B14</f>
        <v>750</v>
      </c>
      <c r="E15" s="2">
        <f>'IRR inputs &amp; outputs'!B14</f>
        <v>750</v>
      </c>
      <c r="F15" s="2">
        <f>'IRR inputs &amp; outputs'!B14</f>
        <v>750</v>
      </c>
      <c r="G15" s="2">
        <f>'IRR inputs &amp; outputs'!B14</f>
        <v>750</v>
      </c>
      <c r="H15" s="2">
        <f>'IRR inputs &amp; outputs'!B14</f>
        <v>750</v>
      </c>
      <c r="I15" s="2">
        <f>'IRR inputs &amp; outputs'!B14</f>
        <v>750</v>
      </c>
      <c r="J15" s="2">
        <f>'IRR inputs &amp; outputs'!B14</f>
        <v>750</v>
      </c>
      <c r="K15" s="2">
        <f>'IRR inputs &amp; outputs'!B14</f>
        <v>750</v>
      </c>
      <c r="L15" s="2">
        <f>'IRR inputs &amp; outputs'!B14</f>
        <v>750</v>
      </c>
    </row>
    <row r="16" spans="1:15">
      <c r="A16" t="s">
        <v>55</v>
      </c>
      <c r="B16" s="2"/>
      <c r="C16" s="2">
        <f>(1/'IRR inputs &amp; outputs'!$B$8)*$B$3*'IRR inputs &amp; outputs'!$B$9+'IRR inputs &amp; outputs'!$B$10</f>
        <v>11434.105263157895</v>
      </c>
      <c r="D16" s="2">
        <f>(1/'IRR inputs &amp; outputs'!$B$8)*$B$3*'IRR inputs &amp; outputs'!$B$9+'IRR inputs &amp; outputs'!$B$10</f>
        <v>11434.105263157895</v>
      </c>
      <c r="E16" s="2">
        <f>(1/'IRR inputs &amp; outputs'!$B$8)*$B$3*'IRR inputs &amp; outputs'!$B$9+'IRR inputs &amp; outputs'!$B$10</f>
        <v>11434.105263157895</v>
      </c>
      <c r="F16" s="2">
        <f>(1/'IRR inputs &amp; outputs'!$B$8)*$B$3*'IRR inputs &amp; outputs'!$B$9+'IRR inputs &amp; outputs'!$B$10</f>
        <v>11434.105263157895</v>
      </c>
      <c r="G16" s="2">
        <f>(1/'IRR inputs &amp; outputs'!$B$8)*$B$3*'IRR inputs &amp; outputs'!$B$9+'IRR inputs &amp; outputs'!$B$10</f>
        <v>11434.105263157895</v>
      </c>
      <c r="H16" s="2">
        <f>(1/'IRR inputs &amp; outputs'!$B$8)*$B$3*'IRR inputs &amp; outputs'!$B$9+'IRR inputs &amp; outputs'!$B$10</f>
        <v>11434.105263157895</v>
      </c>
      <c r="I16" s="2">
        <f>(1/'IRR inputs &amp; outputs'!$B$8)*$B$3*'IRR inputs &amp; outputs'!$B$9+'IRR inputs &amp; outputs'!$B$10</f>
        <v>11434.105263157895</v>
      </c>
      <c r="J16" s="2">
        <f>(1/'IRR inputs &amp; outputs'!$B$8)*$B$3*'IRR inputs &amp; outputs'!$B$9+'IRR inputs &amp; outputs'!$B$10</f>
        <v>11434.105263157895</v>
      </c>
      <c r="K16" s="2">
        <f>(1/'IRR inputs &amp; outputs'!$B$8)*$B$3*'IRR inputs &amp; outputs'!$B$9+'IRR inputs &amp; outputs'!$B$10</f>
        <v>11434.105263157895</v>
      </c>
      <c r="L16" s="2">
        <f>(1/'IRR inputs &amp; outputs'!$B$8)*$B$3*'IRR inputs &amp; outputs'!$B$9+'IRR inputs &amp; outputs'!$B$10</f>
        <v>11434.105263157895</v>
      </c>
    </row>
    <row r="17" spans="1:12">
      <c r="A17" t="s">
        <v>56</v>
      </c>
      <c r="B17" s="2"/>
      <c r="C17" s="46">
        <f>'IRR inputs &amp; outputs'!$B$12</f>
        <v>600</v>
      </c>
      <c r="D17" s="2">
        <f>'IRR inputs &amp; outputs'!$B$12</f>
        <v>600</v>
      </c>
      <c r="E17" s="2">
        <f>'IRR inputs &amp; outputs'!$B$12</f>
        <v>600</v>
      </c>
      <c r="F17" s="2">
        <f>'IRR inputs &amp; outputs'!$B$12</f>
        <v>600</v>
      </c>
      <c r="G17" s="2">
        <f>'IRR inputs &amp; outputs'!$B$12</f>
        <v>600</v>
      </c>
      <c r="H17" s="2">
        <f>'IRR inputs &amp; outputs'!$B$12</f>
        <v>600</v>
      </c>
      <c r="I17" s="2">
        <f>'IRR inputs &amp; outputs'!$B$12</f>
        <v>600</v>
      </c>
      <c r="J17" s="2">
        <f>'IRR inputs &amp; outputs'!$B$12</f>
        <v>600</v>
      </c>
      <c r="K17" s="2">
        <f>'IRR inputs &amp; outputs'!$B$12</f>
        <v>600</v>
      </c>
      <c r="L17" s="2">
        <f>'IRR inputs &amp; outputs'!$B$12</f>
        <v>600</v>
      </c>
    </row>
    <row r="18" spans="1:12">
      <c r="A18" t="s">
        <v>57</v>
      </c>
      <c r="B18" s="2"/>
      <c r="C18" s="2">
        <f>$B$3*'IRR inputs &amp; outputs'!$B$11*'IRR inputs &amp; outputs'!$B$13</f>
        <v>2240.37</v>
      </c>
      <c r="D18" s="2">
        <f>$B$3*'IRR inputs &amp; outputs'!$B$11*'IRR inputs &amp; outputs'!$B$13</f>
        <v>2240.37</v>
      </c>
      <c r="E18" s="2">
        <f>$B$3*'IRR inputs &amp; outputs'!$B$11*'IRR inputs &amp; outputs'!$B$13</f>
        <v>2240.37</v>
      </c>
      <c r="F18" s="2">
        <f>$B$3*'IRR inputs &amp; outputs'!$B$11*'IRR inputs &amp; outputs'!$B$13</f>
        <v>2240.37</v>
      </c>
      <c r="G18" s="2">
        <f>$B$3*'IRR inputs &amp; outputs'!$B$11*'IRR inputs &amp; outputs'!$B$13</f>
        <v>2240.37</v>
      </c>
      <c r="H18" s="2">
        <f>$B$3*'IRR inputs &amp; outputs'!$B$11*'IRR inputs &amp; outputs'!$B$13</f>
        <v>2240.37</v>
      </c>
      <c r="I18" s="2">
        <f>$B$3*'IRR inputs &amp; outputs'!$B$11*'IRR inputs &amp; outputs'!$B$13</f>
        <v>2240.37</v>
      </c>
      <c r="J18" s="2">
        <f>$B$3*'IRR inputs &amp; outputs'!$B$11*'IRR inputs &amp; outputs'!$B$13</f>
        <v>2240.37</v>
      </c>
      <c r="K18" s="2">
        <f>$B$3*'IRR inputs &amp; outputs'!$B$11*'IRR inputs &amp; outputs'!$B$13</f>
        <v>2240.37</v>
      </c>
      <c r="L18" s="2">
        <f>$B$3*'IRR inputs &amp; outputs'!$B$11*'IRR inputs &amp; outputs'!$B$13</f>
        <v>2240.37</v>
      </c>
    </row>
    <row r="19" spans="1:12">
      <c r="A19" t="s">
        <v>58</v>
      </c>
      <c r="B19" s="3">
        <f t="shared" ref="B19:L19" si="1">SUM(B12:B18)</f>
        <v>51000</v>
      </c>
      <c r="C19" s="3">
        <f t="shared" si="1"/>
        <v>20024.475263157892</v>
      </c>
      <c r="D19" s="3">
        <f t="shared" si="1"/>
        <v>20024.475263157892</v>
      </c>
      <c r="E19" s="3">
        <f t="shared" si="1"/>
        <v>20024.475263157892</v>
      </c>
      <c r="F19" s="3">
        <f t="shared" si="1"/>
        <v>20024.475263157892</v>
      </c>
      <c r="G19" s="3">
        <f t="shared" si="1"/>
        <v>55024.475263157896</v>
      </c>
      <c r="H19" s="3">
        <f t="shared" si="1"/>
        <v>20024.475263157892</v>
      </c>
      <c r="I19" s="3">
        <f t="shared" si="1"/>
        <v>20024.475263157892</v>
      </c>
      <c r="J19" s="3">
        <f t="shared" si="1"/>
        <v>20024.475263157892</v>
      </c>
      <c r="K19" s="3">
        <f t="shared" si="1"/>
        <v>20024.475263157892</v>
      </c>
      <c r="L19" s="3">
        <f t="shared" si="1"/>
        <v>20024.475263157892</v>
      </c>
    </row>
    <row r="21" spans="1:12">
      <c r="A21" t="s">
        <v>59</v>
      </c>
      <c r="B21" s="3">
        <f t="shared" ref="B21:L21" si="2">B9-B19</f>
        <v>-51000</v>
      </c>
      <c r="C21" s="3">
        <f t="shared" si="2"/>
        <v>9847.12473684211</v>
      </c>
      <c r="D21" s="3">
        <f t="shared" si="2"/>
        <v>9847.12473684211</v>
      </c>
      <c r="E21" s="3">
        <f t="shared" si="2"/>
        <v>9847.12473684211</v>
      </c>
      <c r="F21" s="3">
        <f t="shared" si="2"/>
        <v>9847.12473684211</v>
      </c>
      <c r="G21" s="3">
        <f t="shared" si="2"/>
        <v>-25152.875263157894</v>
      </c>
      <c r="H21" s="3">
        <f t="shared" si="2"/>
        <v>9847.12473684211</v>
      </c>
      <c r="I21" s="3">
        <f t="shared" si="2"/>
        <v>9847.12473684211</v>
      </c>
      <c r="J21" s="3">
        <f t="shared" si="2"/>
        <v>9847.12473684211</v>
      </c>
      <c r="K21" s="3">
        <f t="shared" si="2"/>
        <v>9847.12473684211</v>
      </c>
      <c r="L21" s="3">
        <f t="shared" si="2"/>
        <v>9847.12473684211</v>
      </c>
    </row>
    <row r="23" spans="1:12">
      <c r="A23" t="s">
        <v>25</v>
      </c>
      <c r="B23" s="4">
        <f>IFERROR(IRR(B21:L21),NA())</f>
        <v>4.039229749744444E-2</v>
      </c>
    </row>
    <row r="25" spans="1:12">
      <c r="A25" s="1" t="s">
        <v>60</v>
      </c>
    </row>
    <row r="26" spans="1:12">
      <c r="A26" t="s">
        <v>41</v>
      </c>
      <c r="B26" s="4">
        <v>0.1</v>
      </c>
    </row>
    <row r="27" spans="1:12">
      <c r="A27" t="s">
        <v>61</v>
      </c>
      <c r="B27" s="3">
        <f>$B$12*(1-B26)</f>
        <v>45000</v>
      </c>
    </row>
    <row r="28" spans="1:12">
      <c r="A28" s="4" t="s">
        <v>62</v>
      </c>
      <c r="B28" s="3">
        <f>-B27</f>
        <v>-45000</v>
      </c>
      <c r="C28" s="3">
        <f>$C$21</f>
        <v>9847.12473684211</v>
      </c>
      <c r="D28" s="3">
        <f>$D$21</f>
        <v>9847.12473684211</v>
      </c>
      <c r="E28" s="3">
        <f>$E$21</f>
        <v>9847.12473684211</v>
      </c>
      <c r="F28" s="3">
        <f>$F$21</f>
        <v>9847.12473684211</v>
      </c>
      <c r="G28" s="3">
        <f>$G$21</f>
        <v>-25152.875263157894</v>
      </c>
      <c r="H28" s="3">
        <f>$H$21</f>
        <v>9847.12473684211</v>
      </c>
      <c r="I28" s="3">
        <f>$I$21</f>
        <v>9847.12473684211</v>
      </c>
      <c r="J28" s="3">
        <f>$J$21</f>
        <v>9847.12473684211</v>
      </c>
      <c r="K28" s="3">
        <f>$K$21</f>
        <v>9847.12473684211</v>
      </c>
      <c r="L28" s="3">
        <f>$L$21</f>
        <v>9847.12473684211</v>
      </c>
    </row>
    <row r="29" spans="1:12">
      <c r="A29" s="4" t="s">
        <v>25</v>
      </c>
      <c r="B29" s="4">
        <f>IFERROR(IRR(B28:L28),NA())</f>
        <v>6.6157407116980815E-2</v>
      </c>
    </row>
    <row r="30" spans="1:12">
      <c r="A30" s="4"/>
      <c r="B30" s="3"/>
    </row>
    <row r="31" spans="1:12">
      <c r="A31" t="s">
        <v>41</v>
      </c>
      <c r="B31" s="4">
        <v>0.15</v>
      </c>
    </row>
    <row r="32" spans="1:12">
      <c r="A32" t="s">
        <v>61</v>
      </c>
      <c r="B32" s="3">
        <f>$B$12*(1-B31)</f>
        <v>42500</v>
      </c>
    </row>
    <row r="33" spans="1:12">
      <c r="A33" s="4" t="s">
        <v>62</v>
      </c>
      <c r="B33" s="3">
        <f>-B32</f>
        <v>-42500</v>
      </c>
      <c r="C33" s="3">
        <f>$C$21</f>
        <v>9847.12473684211</v>
      </c>
      <c r="D33" s="3">
        <f>$D$21</f>
        <v>9847.12473684211</v>
      </c>
      <c r="E33" s="3">
        <f>$E$21</f>
        <v>9847.12473684211</v>
      </c>
      <c r="F33" s="3">
        <f>$F$21</f>
        <v>9847.12473684211</v>
      </c>
      <c r="G33" s="3">
        <f>$G$21</f>
        <v>-25152.875263157894</v>
      </c>
      <c r="H33" s="3">
        <f>$H$21</f>
        <v>9847.12473684211</v>
      </c>
      <c r="I33" s="3">
        <f>$I$21</f>
        <v>9847.12473684211</v>
      </c>
      <c r="J33" s="3">
        <f>$J$21</f>
        <v>9847.12473684211</v>
      </c>
      <c r="K33" s="3">
        <f>$K$21</f>
        <v>9847.12473684211</v>
      </c>
      <c r="L33" s="3">
        <f>$L$21</f>
        <v>9847.12473684211</v>
      </c>
    </row>
    <row r="34" spans="1:12">
      <c r="A34" s="4" t="s">
        <v>25</v>
      </c>
      <c r="B34" s="4">
        <f>IFERROR(IRR(B33:L33),NA())</f>
        <v>7.8699533933553889E-2</v>
      </c>
    </row>
    <row r="35" spans="1:12">
      <c r="A35" s="4"/>
      <c r="B35" s="3"/>
    </row>
    <row r="36" spans="1:12">
      <c r="A36" t="s">
        <v>41</v>
      </c>
      <c r="B36" s="4">
        <v>0.2</v>
      </c>
    </row>
    <row r="37" spans="1:12">
      <c r="A37" t="s">
        <v>61</v>
      </c>
      <c r="B37" s="3">
        <f>$B$12*(1-B36)</f>
        <v>40000</v>
      </c>
    </row>
    <row r="38" spans="1:12">
      <c r="A38" s="4" t="s">
        <v>62</v>
      </c>
      <c r="B38" s="3">
        <f>-B37</f>
        <v>-40000</v>
      </c>
      <c r="C38" s="3">
        <f>$C$21</f>
        <v>9847.12473684211</v>
      </c>
      <c r="D38" s="3">
        <f>$D$21</f>
        <v>9847.12473684211</v>
      </c>
      <c r="E38" s="3">
        <f>$E$21</f>
        <v>9847.12473684211</v>
      </c>
      <c r="F38" s="3">
        <f>$F$21</f>
        <v>9847.12473684211</v>
      </c>
      <c r="G38" s="3">
        <f>$G$21</f>
        <v>-25152.875263157894</v>
      </c>
      <c r="H38" s="3">
        <f>$H$21</f>
        <v>9847.12473684211</v>
      </c>
      <c r="I38" s="3">
        <f>$I$21</f>
        <v>9847.12473684211</v>
      </c>
      <c r="J38" s="3">
        <f>$J$21</f>
        <v>9847.12473684211</v>
      </c>
      <c r="K38" s="3">
        <f>$K$21</f>
        <v>9847.12473684211</v>
      </c>
      <c r="L38" s="3">
        <f>$L$21</f>
        <v>9847.12473684211</v>
      </c>
    </row>
    <row r="39" spans="1:12">
      <c r="A39" s="4" t="s">
        <v>25</v>
      </c>
      <c r="B39" s="4">
        <f>IFERROR(IRR(B38:L38),NA())</f>
        <v>9.2602395893146561E-2</v>
      </c>
    </row>
    <row r="41" spans="1:12">
      <c r="A41" t="s">
        <v>41</v>
      </c>
      <c r="B41" s="4">
        <v>0.25</v>
      </c>
    </row>
    <row r="42" spans="1:12">
      <c r="A42" t="s">
        <v>61</v>
      </c>
      <c r="B42" s="3">
        <f>$B$12*(1-B41)</f>
        <v>37500</v>
      </c>
    </row>
    <row r="43" spans="1:12">
      <c r="A43" s="4" t="s">
        <v>62</v>
      </c>
      <c r="B43" s="3">
        <f>-B42</f>
        <v>-37500</v>
      </c>
      <c r="C43" s="3">
        <f>$C$21</f>
        <v>9847.12473684211</v>
      </c>
      <c r="D43" s="3">
        <f>$D$21</f>
        <v>9847.12473684211</v>
      </c>
      <c r="E43" s="3">
        <f>$E$21</f>
        <v>9847.12473684211</v>
      </c>
      <c r="F43" s="3">
        <f>$F$21</f>
        <v>9847.12473684211</v>
      </c>
      <c r="G43" s="3">
        <f>$G$21</f>
        <v>-25152.875263157894</v>
      </c>
      <c r="H43" s="3">
        <f>$H$21</f>
        <v>9847.12473684211</v>
      </c>
      <c r="I43" s="3">
        <f>$I$21</f>
        <v>9847.12473684211</v>
      </c>
      <c r="J43" s="3">
        <f>$J$21</f>
        <v>9847.12473684211</v>
      </c>
      <c r="K43" s="3">
        <f>$K$21</f>
        <v>9847.12473684211</v>
      </c>
      <c r="L43" s="3">
        <f>$L$21</f>
        <v>9847.12473684211</v>
      </c>
    </row>
    <row r="44" spans="1:12">
      <c r="A44" s="4" t="s">
        <v>25</v>
      </c>
      <c r="B44" s="4">
        <f>IFERROR(IRR(B43:L43),NA())</f>
        <v>0.10814917695380166</v>
      </c>
    </row>
    <row r="46" spans="1:12">
      <c r="A46" t="s">
        <v>41</v>
      </c>
      <c r="B46" s="4">
        <v>0.3</v>
      </c>
    </row>
    <row r="47" spans="1:12">
      <c r="A47" t="s">
        <v>61</v>
      </c>
      <c r="B47" s="3">
        <f>$B$12*(1-B46)</f>
        <v>35000</v>
      </c>
    </row>
    <row r="48" spans="1:12">
      <c r="A48" s="4" t="s">
        <v>62</v>
      </c>
      <c r="B48" s="3">
        <f>-B47</f>
        <v>-35000</v>
      </c>
      <c r="C48" s="3">
        <f>$C$21</f>
        <v>9847.12473684211</v>
      </c>
      <c r="D48" s="3">
        <f>$D$21</f>
        <v>9847.12473684211</v>
      </c>
      <c r="E48" s="3">
        <f>$E$21</f>
        <v>9847.12473684211</v>
      </c>
      <c r="F48" s="3">
        <f>$F$21</f>
        <v>9847.12473684211</v>
      </c>
      <c r="G48" s="3">
        <f>$G$21</f>
        <v>-25152.875263157894</v>
      </c>
      <c r="H48" s="3">
        <f>$H$21</f>
        <v>9847.12473684211</v>
      </c>
      <c r="I48" s="3">
        <f>$I$21</f>
        <v>9847.12473684211</v>
      </c>
      <c r="J48" s="3">
        <f>$J$21</f>
        <v>9847.12473684211</v>
      </c>
      <c r="K48" s="3">
        <f>$K$21</f>
        <v>9847.12473684211</v>
      </c>
      <c r="L48" s="3">
        <f>$L$21</f>
        <v>9847.12473684211</v>
      </c>
    </row>
    <row r="49" spans="1:12">
      <c r="A49" s="4" t="s">
        <v>25</v>
      </c>
      <c r="B49" s="4">
        <f>IFERROR(IRR(B48:L48),NA())</f>
        <v>0.12571285641677066</v>
      </c>
    </row>
    <row r="51" spans="1:12">
      <c r="A51" t="s">
        <v>41</v>
      </c>
      <c r="B51" s="4">
        <v>0.35</v>
      </c>
    </row>
    <row r="52" spans="1:12">
      <c r="A52" t="s">
        <v>61</v>
      </c>
      <c r="B52" s="3">
        <f>$B$12*(1-B51)</f>
        <v>32500</v>
      </c>
    </row>
    <row r="53" spans="1:12">
      <c r="A53" s="4" t="s">
        <v>62</v>
      </c>
      <c r="B53" s="3">
        <f>-B52</f>
        <v>-32500</v>
      </c>
      <c r="C53" s="3">
        <f>$C$21</f>
        <v>9847.12473684211</v>
      </c>
      <c r="D53" s="3">
        <f>$D$21</f>
        <v>9847.12473684211</v>
      </c>
      <c r="E53" s="3">
        <f>$E$21</f>
        <v>9847.12473684211</v>
      </c>
      <c r="F53" s="3">
        <f>$F$21</f>
        <v>9847.12473684211</v>
      </c>
      <c r="G53" s="3">
        <f>$G$21</f>
        <v>-25152.875263157894</v>
      </c>
      <c r="H53" s="3">
        <f>$H$21</f>
        <v>9847.12473684211</v>
      </c>
      <c r="I53" s="3">
        <f>$I$21</f>
        <v>9847.12473684211</v>
      </c>
      <c r="J53" s="3">
        <f>$J$21</f>
        <v>9847.12473684211</v>
      </c>
      <c r="K53" s="3">
        <f>$K$21</f>
        <v>9847.12473684211</v>
      </c>
      <c r="L53" s="3">
        <f>$L$21</f>
        <v>9847.12473684211</v>
      </c>
    </row>
    <row r="54" spans="1:12">
      <c r="A54" s="4" t="s">
        <v>25</v>
      </c>
      <c r="B54" s="4">
        <f>IFERROR(IRR(B53:L53),NA())</f>
        <v>0.14579548401940401</v>
      </c>
    </row>
    <row r="56" spans="1:12">
      <c r="A56" t="s">
        <v>41</v>
      </c>
      <c r="B56" s="4">
        <v>0.4</v>
      </c>
    </row>
    <row r="57" spans="1:12">
      <c r="A57" t="s">
        <v>61</v>
      </c>
      <c r="B57" s="3">
        <f>$B$12*(1-B56)</f>
        <v>30000</v>
      </c>
    </row>
    <row r="58" spans="1:12">
      <c r="A58" s="4" t="s">
        <v>62</v>
      </c>
      <c r="B58" s="3">
        <f>-B57</f>
        <v>-30000</v>
      </c>
      <c r="C58" s="3">
        <f>$C$21</f>
        <v>9847.12473684211</v>
      </c>
      <c r="D58" s="3">
        <f>$D$21</f>
        <v>9847.12473684211</v>
      </c>
      <c r="E58" s="3">
        <f>$E$21</f>
        <v>9847.12473684211</v>
      </c>
      <c r="F58" s="3">
        <f>$F$21</f>
        <v>9847.12473684211</v>
      </c>
      <c r="G58" s="3">
        <f>$G$21</f>
        <v>-25152.875263157894</v>
      </c>
      <c r="H58" s="3">
        <f>$H$21</f>
        <v>9847.12473684211</v>
      </c>
      <c r="I58" s="3">
        <f>$I$21</f>
        <v>9847.12473684211</v>
      </c>
      <c r="J58" s="3">
        <f>$J$21</f>
        <v>9847.12473684211</v>
      </c>
      <c r="K58" s="3">
        <f>$K$21</f>
        <v>9847.12473684211</v>
      </c>
      <c r="L58" s="3">
        <f>$L$21</f>
        <v>9847.12473684211</v>
      </c>
    </row>
    <row r="59" spans="1:12">
      <c r="A59" s="4" t="s">
        <v>25</v>
      </c>
      <c r="B59" s="4">
        <f>IFERROR(IRR(B58:L58),NA())</f>
        <v>0.16908981007608848</v>
      </c>
    </row>
    <row r="61" spans="1:12">
      <c r="A61" t="s">
        <v>41</v>
      </c>
      <c r="B61" s="4">
        <v>0.45</v>
      </c>
    </row>
    <row r="62" spans="1:12">
      <c r="A62" t="s">
        <v>61</v>
      </c>
      <c r="B62" s="3">
        <f>$B$12*(1-B61)</f>
        <v>27500.000000000004</v>
      </c>
    </row>
    <row r="63" spans="1:12">
      <c r="A63" s="4" t="s">
        <v>62</v>
      </c>
      <c r="B63" s="3">
        <f>-B62</f>
        <v>-27500.000000000004</v>
      </c>
      <c r="C63" s="3">
        <f>$C$21</f>
        <v>9847.12473684211</v>
      </c>
      <c r="D63" s="3">
        <f>$D$21</f>
        <v>9847.12473684211</v>
      </c>
      <c r="E63" s="3">
        <f>$E$21</f>
        <v>9847.12473684211</v>
      </c>
      <c r="F63" s="3">
        <f>$F$21</f>
        <v>9847.12473684211</v>
      </c>
      <c r="G63" s="3">
        <f>$G$21</f>
        <v>-25152.875263157894</v>
      </c>
      <c r="H63" s="3">
        <f>$H$21</f>
        <v>9847.12473684211</v>
      </c>
      <c r="I63" s="3">
        <f>$I$21</f>
        <v>9847.12473684211</v>
      </c>
      <c r="J63" s="3">
        <f>$J$21</f>
        <v>9847.12473684211</v>
      </c>
      <c r="K63" s="3">
        <f>$K$21</f>
        <v>9847.12473684211</v>
      </c>
      <c r="L63" s="3">
        <f>$L$21</f>
        <v>9847.12473684211</v>
      </c>
    </row>
    <row r="64" spans="1:12">
      <c r="A64" s="4" t="s">
        <v>25</v>
      </c>
      <c r="B64" s="4">
        <f>IFERROR(IRR(B63:L63),NA())</f>
        <v>0.19657913590008813</v>
      </c>
    </row>
    <row r="66" spans="1:12">
      <c r="A66" t="s">
        <v>41</v>
      </c>
      <c r="B66" s="4">
        <v>0.5</v>
      </c>
    </row>
    <row r="67" spans="1:12">
      <c r="A67" t="s">
        <v>61</v>
      </c>
      <c r="B67" s="3">
        <f>$B$12*(1-B66)</f>
        <v>25000</v>
      </c>
    </row>
    <row r="68" spans="1:12">
      <c r="A68" s="4" t="s">
        <v>62</v>
      </c>
      <c r="B68" s="3">
        <f>-B67</f>
        <v>-25000</v>
      </c>
      <c r="C68" s="3">
        <f>$C$21</f>
        <v>9847.12473684211</v>
      </c>
      <c r="D68" s="3">
        <f>$D$21</f>
        <v>9847.12473684211</v>
      </c>
      <c r="E68" s="3">
        <f>$E$21</f>
        <v>9847.12473684211</v>
      </c>
      <c r="F68" s="3">
        <f>$F$21</f>
        <v>9847.12473684211</v>
      </c>
      <c r="G68" s="3">
        <f>$G$21</f>
        <v>-25152.875263157894</v>
      </c>
      <c r="H68" s="3">
        <f>$H$21</f>
        <v>9847.12473684211</v>
      </c>
      <c r="I68" s="3">
        <f>$I$21</f>
        <v>9847.12473684211</v>
      </c>
      <c r="J68" s="3">
        <f>$J$21</f>
        <v>9847.12473684211</v>
      </c>
      <c r="K68" s="3">
        <f>$K$21</f>
        <v>9847.12473684211</v>
      </c>
      <c r="L68" s="3">
        <f>$L$21</f>
        <v>9847.12473684211</v>
      </c>
    </row>
    <row r="69" spans="1:12">
      <c r="A69" s="4" t="s">
        <v>25</v>
      </c>
      <c r="B69" s="4">
        <f>IFERROR(IRR(B68:L68),NA())</f>
        <v>0.22970472522356356</v>
      </c>
    </row>
    <row r="71" spans="1:12">
      <c r="A71" t="s">
        <v>41</v>
      </c>
      <c r="B71" s="4">
        <v>0.55000000000000004</v>
      </c>
    </row>
    <row r="72" spans="1:12">
      <c r="A72" t="s">
        <v>61</v>
      </c>
      <c r="B72" s="3">
        <f>$B$12*(1-B71)</f>
        <v>22499.999999999996</v>
      </c>
    </row>
    <row r="73" spans="1:12">
      <c r="A73" s="4" t="s">
        <v>62</v>
      </c>
      <c r="B73" s="3">
        <f>-B72</f>
        <v>-22499.999999999996</v>
      </c>
      <c r="C73" s="3">
        <f>$C$21</f>
        <v>9847.12473684211</v>
      </c>
      <c r="D73" s="3">
        <f>$D$21</f>
        <v>9847.12473684211</v>
      </c>
      <c r="E73" s="3">
        <f>$E$21</f>
        <v>9847.12473684211</v>
      </c>
      <c r="F73" s="3">
        <f>$F$21</f>
        <v>9847.12473684211</v>
      </c>
      <c r="G73" s="3">
        <f>$G$21</f>
        <v>-25152.875263157894</v>
      </c>
      <c r="H73" s="3">
        <f>$H$21</f>
        <v>9847.12473684211</v>
      </c>
      <c r="I73" s="3">
        <f>$I$21</f>
        <v>9847.12473684211</v>
      </c>
      <c r="J73" s="3">
        <f>$J$21</f>
        <v>9847.12473684211</v>
      </c>
      <c r="K73" s="3">
        <f>$K$21</f>
        <v>9847.12473684211</v>
      </c>
      <c r="L73" s="3">
        <f>$L$21</f>
        <v>9847.12473684211</v>
      </c>
    </row>
    <row r="74" spans="1:12">
      <c r="A74" s="4" t="s">
        <v>25</v>
      </c>
      <c r="B74" s="4">
        <f>IFERROR(IRR(B73:L73),NA())</f>
        <v>0.27065657819709332</v>
      </c>
    </row>
    <row r="76" spans="1:12">
      <c r="A76" t="s">
        <v>41</v>
      </c>
      <c r="B76" s="4">
        <v>0.6</v>
      </c>
    </row>
    <row r="77" spans="1:12">
      <c r="A77" t="s">
        <v>61</v>
      </c>
      <c r="B77" s="3">
        <f>$B$12*(1-B76)</f>
        <v>20000</v>
      </c>
    </row>
    <row r="78" spans="1:12">
      <c r="A78" s="4" t="s">
        <v>62</v>
      </c>
      <c r="B78" s="3">
        <f>-B77</f>
        <v>-20000</v>
      </c>
      <c r="C78" s="3">
        <f>$C$21</f>
        <v>9847.12473684211</v>
      </c>
      <c r="D78" s="3">
        <f>$D$21</f>
        <v>9847.12473684211</v>
      </c>
      <c r="E78" s="3">
        <f>$E$21</f>
        <v>9847.12473684211</v>
      </c>
      <c r="F78" s="3">
        <f>$F$21</f>
        <v>9847.12473684211</v>
      </c>
      <c r="G78" s="3">
        <f>$G$21</f>
        <v>-25152.875263157894</v>
      </c>
      <c r="H78" s="3">
        <f>$H$21</f>
        <v>9847.12473684211</v>
      </c>
      <c r="I78" s="3">
        <f>$I$21</f>
        <v>9847.12473684211</v>
      </c>
      <c r="J78" s="3">
        <f>$J$21</f>
        <v>9847.12473684211</v>
      </c>
      <c r="K78" s="3">
        <f>$K$21</f>
        <v>9847.12473684211</v>
      </c>
      <c r="L78" s="3">
        <f>$L$21</f>
        <v>9847.12473684211</v>
      </c>
    </row>
    <row r="79" spans="1:12">
      <c r="A79" s="4" t="s">
        <v>25</v>
      </c>
      <c r="B79" s="4">
        <f>IFERROR(IRR(B78:L78),NA())</f>
        <v>0.32289574475341931</v>
      </c>
    </row>
    <row r="81" spans="1:12">
      <c r="A81" t="s">
        <v>41</v>
      </c>
      <c r="B81" s="4">
        <v>0.65</v>
      </c>
    </row>
    <row r="82" spans="1:12">
      <c r="A82" t="s">
        <v>61</v>
      </c>
      <c r="B82" s="3">
        <f>$B$12*(1-B81)</f>
        <v>17500</v>
      </c>
    </row>
    <row r="83" spans="1:12">
      <c r="A83" s="4" t="s">
        <v>62</v>
      </c>
      <c r="B83" s="3">
        <f>-B82</f>
        <v>-17500</v>
      </c>
      <c r="C83" s="3">
        <f>$C$21</f>
        <v>9847.12473684211</v>
      </c>
      <c r="D83" s="3">
        <f>$D$21</f>
        <v>9847.12473684211</v>
      </c>
      <c r="E83" s="3">
        <f>$E$21</f>
        <v>9847.12473684211</v>
      </c>
      <c r="F83" s="3">
        <f>$F$21</f>
        <v>9847.12473684211</v>
      </c>
      <c r="G83" s="3">
        <f>$G$21</f>
        <v>-25152.875263157894</v>
      </c>
      <c r="H83" s="3">
        <f>$H$21</f>
        <v>9847.12473684211</v>
      </c>
      <c r="I83" s="3">
        <f>$I$21</f>
        <v>9847.12473684211</v>
      </c>
      <c r="J83" s="3">
        <f>$J$21</f>
        <v>9847.12473684211</v>
      </c>
      <c r="K83" s="3">
        <f>$K$21</f>
        <v>9847.12473684211</v>
      </c>
      <c r="L83" s="3">
        <f>$L$21</f>
        <v>9847.12473684211</v>
      </c>
    </row>
    <row r="84" spans="1:12">
      <c r="A84" s="4" t="s">
        <v>25</v>
      </c>
      <c r="B84" s="4">
        <f>IFERROR(IRR(B83:L83),NA())</f>
        <v>0.3921183986108463</v>
      </c>
    </row>
    <row r="86" spans="1:12">
      <c r="A86" t="s">
        <v>41</v>
      </c>
      <c r="B86" s="4">
        <v>0.7</v>
      </c>
    </row>
    <row r="87" spans="1:12">
      <c r="A87" t="s">
        <v>61</v>
      </c>
      <c r="B87" s="3">
        <f>$B$12*(1-B86)</f>
        <v>15000.000000000002</v>
      </c>
    </row>
    <row r="88" spans="1:12">
      <c r="A88" s="4" t="s">
        <v>62</v>
      </c>
      <c r="B88" s="3">
        <f>-B87</f>
        <v>-15000.000000000002</v>
      </c>
      <c r="C88" s="3">
        <f>$C$21</f>
        <v>9847.12473684211</v>
      </c>
      <c r="D88" s="3">
        <f>$D$21</f>
        <v>9847.12473684211</v>
      </c>
      <c r="E88" s="3">
        <f>$E$21</f>
        <v>9847.12473684211</v>
      </c>
      <c r="F88" s="3">
        <f>$F$21</f>
        <v>9847.12473684211</v>
      </c>
      <c r="G88" s="3">
        <f>$G$21</f>
        <v>-25152.875263157894</v>
      </c>
      <c r="H88" s="3">
        <f>$H$21</f>
        <v>9847.12473684211</v>
      </c>
      <c r="I88" s="3">
        <f>$I$21</f>
        <v>9847.12473684211</v>
      </c>
      <c r="J88" s="3">
        <f>$J$21</f>
        <v>9847.12473684211</v>
      </c>
      <c r="K88" s="3">
        <f>$K$21</f>
        <v>9847.12473684211</v>
      </c>
      <c r="L88" s="3">
        <f>$L$21</f>
        <v>9847.12473684211</v>
      </c>
    </row>
    <row r="89" spans="1:12">
      <c r="A89" s="4" t="s">
        <v>25</v>
      </c>
      <c r="B89" s="4">
        <f>IFERROR(IRR(B88:L88),NA())</f>
        <v>0.48806470583842243</v>
      </c>
    </row>
    <row r="91" spans="1:12">
      <c r="A91" t="s">
        <v>41</v>
      </c>
      <c r="B91" s="4">
        <v>0.75</v>
      </c>
    </row>
    <row r="92" spans="1:12">
      <c r="A92" t="s">
        <v>61</v>
      </c>
      <c r="B92" s="3">
        <f>$B$12*(1-B91)</f>
        <v>12500</v>
      </c>
    </row>
    <row r="93" spans="1:12">
      <c r="A93" s="4" t="s">
        <v>62</v>
      </c>
      <c r="B93" s="3">
        <f>-B92</f>
        <v>-12500</v>
      </c>
      <c r="C93" s="3">
        <f>$C$21</f>
        <v>9847.12473684211</v>
      </c>
      <c r="D93" s="3">
        <f>$D$21</f>
        <v>9847.12473684211</v>
      </c>
      <c r="E93" s="3">
        <f>$E$21</f>
        <v>9847.12473684211</v>
      </c>
      <c r="F93" s="3">
        <f>$F$21</f>
        <v>9847.12473684211</v>
      </c>
      <c r="G93" s="3">
        <f>$G$21</f>
        <v>-25152.875263157894</v>
      </c>
      <c r="H93" s="3">
        <f>$H$21</f>
        <v>9847.12473684211</v>
      </c>
      <c r="I93" s="3">
        <f>$I$21</f>
        <v>9847.12473684211</v>
      </c>
      <c r="J93" s="3">
        <f>$J$21</f>
        <v>9847.12473684211</v>
      </c>
      <c r="K93" s="3">
        <f>$K$21</f>
        <v>9847.12473684211</v>
      </c>
      <c r="L93" s="3">
        <f>$L$21</f>
        <v>9847.12473684211</v>
      </c>
    </row>
    <row r="94" spans="1:12">
      <c r="A94" s="4" t="s">
        <v>25</v>
      </c>
      <c r="B94" s="4">
        <f>IFERROR(IRR(B93:L93),NA())</f>
        <v>0.62798038836135195</v>
      </c>
    </row>
    <row r="96" spans="1:12">
      <c r="A96" t="s">
        <v>41</v>
      </c>
      <c r="B96" s="4">
        <v>0.8</v>
      </c>
    </row>
    <row r="97" spans="1:12">
      <c r="A97" t="s">
        <v>61</v>
      </c>
      <c r="B97" s="3">
        <f>$B$12*(1-B96)</f>
        <v>9999.9999999999982</v>
      </c>
    </row>
    <row r="98" spans="1:12">
      <c r="A98" s="4" t="s">
        <v>62</v>
      </c>
      <c r="B98" s="3">
        <f>-B97</f>
        <v>-9999.9999999999982</v>
      </c>
      <c r="C98" s="3">
        <f>$C$21</f>
        <v>9847.12473684211</v>
      </c>
      <c r="D98" s="3">
        <f>$D$21</f>
        <v>9847.12473684211</v>
      </c>
      <c r="E98" s="3">
        <f>$E$21</f>
        <v>9847.12473684211</v>
      </c>
      <c r="F98" s="3">
        <f>$F$21</f>
        <v>9847.12473684211</v>
      </c>
      <c r="G98" s="3">
        <f>$G$21</f>
        <v>-25152.875263157894</v>
      </c>
      <c r="H98" s="3">
        <f>$H$21</f>
        <v>9847.12473684211</v>
      </c>
      <c r="I98" s="3">
        <f>$I$21</f>
        <v>9847.12473684211</v>
      </c>
      <c r="J98" s="3">
        <f>$J$21</f>
        <v>9847.12473684211</v>
      </c>
      <c r="K98" s="3">
        <f>$K$21</f>
        <v>9847.12473684211</v>
      </c>
      <c r="L98" s="3">
        <f>$L$21</f>
        <v>9847.12473684211</v>
      </c>
    </row>
    <row r="99" spans="1:12">
      <c r="A99" s="4" t="s">
        <v>25</v>
      </c>
      <c r="B99" s="4">
        <f>IFERROR(IRR(B98:L98),NA())</f>
        <v>0.84399544729871478</v>
      </c>
    </row>
    <row r="101" spans="1:12">
      <c r="A101" t="s">
        <v>41</v>
      </c>
      <c r="B101" s="4">
        <v>0.85</v>
      </c>
    </row>
    <row r="102" spans="1:12">
      <c r="A102" t="s">
        <v>61</v>
      </c>
      <c r="B102" s="3">
        <f>$B$12*(1-B101)</f>
        <v>7500.0000000000009</v>
      </c>
    </row>
    <row r="103" spans="1:12">
      <c r="A103" s="4" t="s">
        <v>62</v>
      </c>
      <c r="B103" s="3">
        <f>-B102</f>
        <v>-7500.0000000000009</v>
      </c>
      <c r="C103" s="3">
        <f>$C$21</f>
        <v>9847.12473684211</v>
      </c>
      <c r="D103" s="3">
        <f>$D$21</f>
        <v>9847.12473684211</v>
      </c>
      <c r="E103" s="3">
        <f>$E$21</f>
        <v>9847.12473684211</v>
      </c>
      <c r="F103" s="3">
        <f>$F$21</f>
        <v>9847.12473684211</v>
      </c>
      <c r="G103" s="3">
        <f>$G$21</f>
        <v>-25152.875263157894</v>
      </c>
      <c r="H103" s="3">
        <f>$H$21</f>
        <v>9847.12473684211</v>
      </c>
      <c r="I103" s="3">
        <f>$I$21</f>
        <v>9847.12473684211</v>
      </c>
      <c r="J103" s="3">
        <f>$J$21</f>
        <v>9847.12473684211</v>
      </c>
      <c r="K103" s="3">
        <f>$K$21</f>
        <v>9847.12473684211</v>
      </c>
      <c r="L103" s="3">
        <f>$L$21</f>
        <v>9847.12473684211</v>
      </c>
    </row>
    <row r="104" spans="1:12">
      <c r="A104" s="4" t="s">
        <v>25</v>
      </c>
      <c r="B104" s="4">
        <f>IFERROR(IRR(B103:L103),NA())</f>
        <v>1.2045066229862313</v>
      </c>
    </row>
    <row r="106" spans="1:12">
      <c r="A106" t="s">
        <v>41</v>
      </c>
      <c r="B106" s="4">
        <v>0.9</v>
      </c>
    </row>
    <row r="107" spans="1:12">
      <c r="A107" t="s">
        <v>61</v>
      </c>
      <c r="B107" s="3">
        <f>$B$12*(1-B106)</f>
        <v>4999.9999999999991</v>
      </c>
    </row>
    <row r="108" spans="1:12">
      <c r="A108" s="4" t="s">
        <v>62</v>
      </c>
      <c r="B108" s="3">
        <f>-B107</f>
        <v>-4999.9999999999991</v>
      </c>
      <c r="C108" s="3">
        <f>$C$21</f>
        <v>9847.12473684211</v>
      </c>
      <c r="D108" s="3">
        <f>$D$21</f>
        <v>9847.12473684211</v>
      </c>
      <c r="E108" s="3">
        <f>$E$21</f>
        <v>9847.12473684211</v>
      </c>
      <c r="F108" s="3">
        <f>$F$21</f>
        <v>9847.12473684211</v>
      </c>
      <c r="G108" s="3">
        <f>$G$21</f>
        <v>-25152.875263157894</v>
      </c>
      <c r="H108" s="3">
        <f>$H$21</f>
        <v>9847.12473684211</v>
      </c>
      <c r="I108" s="3">
        <f>$I$21</f>
        <v>9847.12473684211</v>
      </c>
      <c r="J108" s="3">
        <f>$J$21</f>
        <v>9847.12473684211</v>
      </c>
      <c r="K108" s="3">
        <f>$K$21</f>
        <v>9847.12473684211</v>
      </c>
      <c r="L108" s="3">
        <f>$L$21</f>
        <v>9847.12473684211</v>
      </c>
    </row>
    <row r="109" spans="1:12">
      <c r="A109" s="4" t="s">
        <v>25</v>
      </c>
      <c r="B109" s="4">
        <f>IFERROR(IRR(B108:L108),NA())</f>
        <v>1.904916644486486</v>
      </c>
    </row>
    <row r="111" spans="1:12">
      <c r="A111" t="s">
        <v>41</v>
      </c>
      <c r="B111" s="4">
        <v>0.95</v>
      </c>
    </row>
    <row r="112" spans="1:12">
      <c r="A112" t="s">
        <v>61</v>
      </c>
      <c r="B112" s="3">
        <f>$B$12*(1-B111)</f>
        <v>2500.0000000000023</v>
      </c>
    </row>
    <row r="113" spans="1:20">
      <c r="A113" s="4" t="s">
        <v>62</v>
      </c>
      <c r="B113" s="3">
        <f>-B112</f>
        <v>-2500.0000000000023</v>
      </c>
      <c r="C113" s="3">
        <f>$C$21</f>
        <v>9847.12473684211</v>
      </c>
      <c r="D113" s="3">
        <f>$D$21</f>
        <v>9847.12473684211</v>
      </c>
      <c r="E113" s="3">
        <f>$E$21</f>
        <v>9847.12473684211</v>
      </c>
      <c r="F113" s="3">
        <f>$F$21</f>
        <v>9847.12473684211</v>
      </c>
      <c r="G113" s="3">
        <f>$G$21</f>
        <v>-25152.875263157894</v>
      </c>
      <c r="H113" s="3">
        <f>$H$21</f>
        <v>9847.12473684211</v>
      </c>
      <c r="I113" s="3">
        <f>$I$21</f>
        <v>9847.12473684211</v>
      </c>
      <c r="J113" s="3">
        <f>$J$21</f>
        <v>9847.12473684211</v>
      </c>
      <c r="K113" s="3">
        <f>$K$21</f>
        <v>9847.12473684211</v>
      </c>
      <c r="L113" s="3">
        <f>$L$21</f>
        <v>9847.12473684211</v>
      </c>
    </row>
    <row r="114" spans="1:20">
      <c r="A114" s="4" t="s">
        <v>25</v>
      </c>
      <c r="B114" s="4">
        <f>IFERROR(IRR(B113:L113),NA())</f>
        <v>3.9198101036803594</v>
      </c>
    </row>
    <row r="116" spans="1:20">
      <c r="A116" t="s">
        <v>41</v>
      </c>
      <c r="B116" s="4">
        <v>1</v>
      </c>
    </row>
    <row r="117" spans="1:20">
      <c r="A117" t="s">
        <v>61</v>
      </c>
      <c r="B117" s="3">
        <f>$B$12*(1-B116)</f>
        <v>0</v>
      </c>
    </row>
    <row r="118" spans="1:20">
      <c r="A118" s="4" t="s">
        <v>62</v>
      </c>
      <c r="B118" s="3">
        <f>-B117</f>
        <v>0</v>
      </c>
      <c r="C118" s="3">
        <f>$C$21</f>
        <v>9847.12473684211</v>
      </c>
      <c r="D118" s="3">
        <f>$D$21</f>
        <v>9847.12473684211</v>
      </c>
      <c r="E118" s="3">
        <f>$E$21</f>
        <v>9847.12473684211</v>
      </c>
      <c r="F118" s="3">
        <f>$F$21</f>
        <v>9847.12473684211</v>
      </c>
      <c r="G118" s="3">
        <f>$G$21</f>
        <v>-25152.875263157894</v>
      </c>
      <c r="H118" s="3">
        <f>$H$21</f>
        <v>9847.12473684211</v>
      </c>
      <c r="I118" s="3">
        <f>$I$21</f>
        <v>9847.12473684211</v>
      </c>
      <c r="J118" s="3">
        <f>$J$21</f>
        <v>9847.12473684211</v>
      </c>
      <c r="K118" s="3">
        <f>$K$21</f>
        <v>9847.12473684211</v>
      </c>
      <c r="L118" s="3">
        <f>$L$21</f>
        <v>9847.12473684211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63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>
        <f>B29</f>
        <v>6.6157407116980815E-2</v>
      </c>
      <c r="C124" s="4">
        <f>B34</f>
        <v>7.8699533933553889E-2</v>
      </c>
      <c r="D124" s="4">
        <f>B39</f>
        <v>9.2602395893146561E-2</v>
      </c>
      <c r="E124" s="4">
        <f>B44</f>
        <v>0.10814917695380166</v>
      </c>
      <c r="F124" s="4">
        <f>B49</f>
        <v>0.12571285641677066</v>
      </c>
      <c r="G124" s="4">
        <f>B54</f>
        <v>0.14579548401940401</v>
      </c>
      <c r="H124" s="4">
        <f>B59</f>
        <v>0.16908981007608848</v>
      </c>
      <c r="I124" s="4">
        <f>B64</f>
        <v>0.19657913590008813</v>
      </c>
      <c r="J124" s="4">
        <f>B69</f>
        <v>0.22970472522356356</v>
      </c>
      <c r="K124" s="4">
        <f>B74</f>
        <v>0.27065657819709332</v>
      </c>
      <c r="L124" s="4">
        <f>B79</f>
        <v>0.32289574475341931</v>
      </c>
      <c r="M124" s="4">
        <f>B84</f>
        <v>0.3921183986108463</v>
      </c>
      <c r="N124" s="4">
        <f>B89</f>
        <v>0.48806470583842243</v>
      </c>
      <c r="O124" s="4">
        <f>B94</f>
        <v>0.62798038836135195</v>
      </c>
      <c r="P124" s="4">
        <f>B99</f>
        <v>0.84399544729871478</v>
      </c>
      <c r="Q124" s="4">
        <f>B104</f>
        <v>1.2045066229862313</v>
      </c>
      <c r="R124" s="4">
        <f>B109</f>
        <v>1.904916644486486</v>
      </c>
      <c r="S124" s="4">
        <f>B114</f>
        <v>3.9198101036803594</v>
      </c>
      <c r="T124" s="4" t="e">
        <f>B119</f>
        <v>#N/A</v>
      </c>
    </row>
    <row r="125" spans="1:20">
      <c r="A125" t="s">
        <v>64</v>
      </c>
      <c r="B125" s="4" t="e">
        <f>LOOKUP('IRR inputs &amp; outputs'!B18, B124:P124, B123:P123)</f>
        <v>#N/A</v>
      </c>
    </row>
    <row r="126" spans="1:20">
      <c r="A126" t="s">
        <v>65</v>
      </c>
      <c r="B126" s="4">
        <f>LOOKUP('IRR inputs &amp; outputs'!B19, B124:P124, B123:P123)</f>
        <v>0.25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16191-A341-4B67-8F2C-B77CBE1A34B9}">
  <dimension ref="A1:T126"/>
  <sheetViews>
    <sheetView workbookViewId="0">
      <selection activeCell="G1" sqref="G1:G1048576"/>
    </sheetView>
  </sheetViews>
  <sheetFormatPr defaultRowHeight="14.25"/>
  <cols>
    <col min="1" max="1" width="20" customWidth="1"/>
  </cols>
  <sheetData>
    <row r="1" spans="1:15">
      <c r="A1" s="1" t="s">
        <v>24</v>
      </c>
      <c r="B1" s="5">
        <v>0.15</v>
      </c>
    </row>
    <row r="2" spans="1:15">
      <c r="A2" t="s">
        <v>44</v>
      </c>
      <c r="B2">
        <f>24*365</f>
        <v>8760</v>
      </c>
    </row>
    <row r="3" spans="1:15">
      <c r="A3" t="s">
        <v>45</v>
      </c>
      <c r="B3">
        <f>B2*B1*'IRR inputs &amp; outputs'!B2*'IRR inputs &amp; outputs'!B3*'IRR inputs &amp; outputs'!$B$7</f>
        <v>65174.400000000001</v>
      </c>
      <c r="C3" t="s">
        <v>46</v>
      </c>
    </row>
    <row r="5" spans="1:15">
      <c r="A5" s="1" t="s">
        <v>47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48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49</v>
      </c>
      <c r="B7" s="2"/>
      <c r="C7" s="2">
        <f>$B$3*'IRR inputs &amp; outputs'!$B$13</f>
        <v>35845.920000000006</v>
      </c>
      <c r="D7" s="2">
        <f>$B$3*'IRR inputs &amp; outputs'!$B$13</f>
        <v>35845.920000000006</v>
      </c>
      <c r="E7" s="2">
        <f>$B$3*'IRR inputs &amp; outputs'!$B$13</f>
        <v>35845.920000000006</v>
      </c>
      <c r="F7" s="2">
        <f>$B$3*'IRR inputs &amp; outputs'!$B$13</f>
        <v>35845.920000000006</v>
      </c>
      <c r="G7" s="2">
        <f>$B$3*'IRR inputs &amp; outputs'!$B$13</f>
        <v>35845.920000000006</v>
      </c>
      <c r="H7" s="2">
        <f>$B$3*'IRR inputs &amp; outputs'!$B$13</f>
        <v>35845.920000000006</v>
      </c>
      <c r="I7" s="2">
        <f>$B$3*'IRR inputs &amp; outputs'!$B$13</f>
        <v>35845.920000000006</v>
      </c>
      <c r="J7" s="2">
        <f>$B$3*'IRR inputs &amp; outputs'!$B$13</f>
        <v>35845.920000000006</v>
      </c>
      <c r="K7" s="2">
        <f>$B$3*'IRR inputs &amp; outputs'!$B$13</f>
        <v>35845.920000000006</v>
      </c>
      <c r="L7" s="2">
        <f>$B$3*'IRR inputs &amp; outputs'!$B$13</f>
        <v>35845.920000000006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50</v>
      </c>
      <c r="B9" s="2"/>
      <c r="C9" s="2">
        <f t="shared" ref="C9:L9" si="0">SUM(C7:C8)</f>
        <v>35845.920000000006</v>
      </c>
      <c r="D9" s="2">
        <f t="shared" si="0"/>
        <v>35845.920000000006</v>
      </c>
      <c r="E9" s="2">
        <f t="shared" si="0"/>
        <v>35845.920000000006</v>
      </c>
      <c r="F9" s="2">
        <f t="shared" si="0"/>
        <v>35845.920000000006</v>
      </c>
      <c r="G9" s="2">
        <f t="shared" si="0"/>
        <v>35845.920000000006</v>
      </c>
      <c r="H9" s="2">
        <f t="shared" si="0"/>
        <v>35845.920000000006</v>
      </c>
      <c r="I9" s="2">
        <f t="shared" si="0"/>
        <v>35845.920000000006</v>
      </c>
      <c r="J9" s="2">
        <f t="shared" si="0"/>
        <v>35845.920000000006</v>
      </c>
      <c r="K9" s="2">
        <f t="shared" si="0"/>
        <v>35845.920000000006</v>
      </c>
      <c r="L9" s="2">
        <f t="shared" si="0"/>
        <v>35845.920000000006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51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50000</v>
      </c>
      <c r="C12" s="2"/>
      <c r="D12" s="2"/>
      <c r="E12" s="2"/>
      <c r="F12" s="2"/>
      <c r="G12" s="2">
        <f>'IRR inputs &amp; outputs'!B15</f>
        <v>35000</v>
      </c>
      <c r="H12" s="2"/>
      <c r="I12" s="2"/>
      <c r="J12" s="2"/>
      <c r="K12" s="2"/>
      <c r="L12" s="2"/>
    </row>
    <row r="13" spans="1:15">
      <c r="A13" t="s">
        <v>52</v>
      </c>
      <c r="B13" s="2">
        <f>'IRR inputs &amp; outputs'!B16</f>
        <v>1000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53</v>
      </c>
      <c r="B14" s="2"/>
      <c r="C14" s="2">
        <f>'IRR inputs &amp; outputs'!$B$17</f>
        <v>5000</v>
      </c>
      <c r="D14" s="2">
        <f>'IRR inputs &amp; outputs'!$B$17</f>
        <v>5000</v>
      </c>
      <c r="E14" s="2">
        <f>'IRR inputs &amp; outputs'!$B$17</f>
        <v>5000</v>
      </c>
      <c r="F14" s="2">
        <f>'IRR inputs &amp; outputs'!$B$17</f>
        <v>5000</v>
      </c>
      <c r="G14" s="2">
        <f>'IRR inputs &amp; outputs'!$B$17</f>
        <v>5000</v>
      </c>
      <c r="H14" s="2">
        <f>'IRR inputs &amp; outputs'!$B$17</f>
        <v>5000</v>
      </c>
      <c r="I14" s="2">
        <f>'IRR inputs &amp; outputs'!$B$17</f>
        <v>5000</v>
      </c>
      <c r="J14" s="2">
        <f>'IRR inputs &amp; outputs'!$B$17</f>
        <v>5000</v>
      </c>
      <c r="K14" s="2">
        <f>'IRR inputs &amp; outputs'!$B$17</f>
        <v>5000</v>
      </c>
      <c r="L14" s="2">
        <f>'IRR inputs &amp; outputs'!$B$17</f>
        <v>5000</v>
      </c>
    </row>
    <row r="15" spans="1:15">
      <c r="A15" t="s">
        <v>54</v>
      </c>
      <c r="B15" s="2"/>
      <c r="C15" s="2">
        <f>'IRR inputs &amp; outputs'!B14</f>
        <v>750</v>
      </c>
      <c r="D15" s="2">
        <f>'IRR inputs &amp; outputs'!B14</f>
        <v>750</v>
      </c>
      <c r="E15" s="2">
        <f>'IRR inputs &amp; outputs'!B14</f>
        <v>750</v>
      </c>
      <c r="F15" s="2">
        <f>'IRR inputs &amp; outputs'!B14</f>
        <v>750</v>
      </c>
      <c r="G15" s="2">
        <f>'IRR inputs &amp; outputs'!B14</f>
        <v>750</v>
      </c>
      <c r="H15" s="2">
        <f>'IRR inputs &amp; outputs'!B14</f>
        <v>750</v>
      </c>
      <c r="I15" s="2">
        <f>'IRR inputs &amp; outputs'!B14</f>
        <v>750</v>
      </c>
      <c r="J15" s="2">
        <f>'IRR inputs &amp; outputs'!B14</f>
        <v>750</v>
      </c>
      <c r="K15" s="2">
        <f>'IRR inputs &amp; outputs'!B14</f>
        <v>750</v>
      </c>
      <c r="L15" s="2">
        <f>'IRR inputs &amp; outputs'!B14</f>
        <v>750</v>
      </c>
    </row>
    <row r="16" spans="1:15">
      <c r="A16" t="s">
        <v>55</v>
      </c>
      <c r="B16" s="2"/>
      <c r="C16" s="2">
        <f>(1/'IRR inputs &amp; outputs'!$B$8)*$B$3*'IRR inputs &amp; outputs'!$B$9+'IRR inputs &amp; outputs'!$B$10</f>
        <v>13720.926315789473</v>
      </c>
      <c r="D16" s="2">
        <f>(1/'IRR inputs &amp; outputs'!$B$8)*$B$3*'IRR inputs &amp; outputs'!$B$9+'IRR inputs &amp; outputs'!$B$10</f>
        <v>13720.926315789473</v>
      </c>
      <c r="E16" s="2">
        <f>(1/'IRR inputs &amp; outputs'!$B$8)*$B$3*'IRR inputs &amp; outputs'!$B$9+'IRR inputs &amp; outputs'!$B$10</f>
        <v>13720.926315789473</v>
      </c>
      <c r="F16" s="2">
        <f>(1/'IRR inputs &amp; outputs'!$B$8)*$B$3*'IRR inputs &amp; outputs'!$B$9+'IRR inputs &amp; outputs'!$B$10</f>
        <v>13720.926315789473</v>
      </c>
      <c r="G16" s="2">
        <f>(1/'IRR inputs &amp; outputs'!$B$8)*$B$3*'IRR inputs &amp; outputs'!$B$9+'IRR inputs &amp; outputs'!$B$10</f>
        <v>13720.926315789473</v>
      </c>
      <c r="H16" s="2">
        <f>(1/'IRR inputs &amp; outputs'!$B$8)*$B$3*'IRR inputs &amp; outputs'!$B$9+'IRR inputs &amp; outputs'!$B$10</f>
        <v>13720.926315789473</v>
      </c>
      <c r="I16" s="2">
        <f>(1/'IRR inputs &amp; outputs'!$B$8)*$B$3*'IRR inputs &amp; outputs'!$B$9+'IRR inputs &amp; outputs'!$B$10</f>
        <v>13720.926315789473</v>
      </c>
      <c r="J16" s="2">
        <f>(1/'IRR inputs &amp; outputs'!$B$8)*$B$3*'IRR inputs &amp; outputs'!$B$9+'IRR inputs &amp; outputs'!$B$10</f>
        <v>13720.926315789473</v>
      </c>
      <c r="K16" s="2">
        <f>(1/'IRR inputs &amp; outputs'!$B$8)*$B$3*'IRR inputs &amp; outputs'!$B$9+'IRR inputs &amp; outputs'!$B$10</f>
        <v>13720.926315789473</v>
      </c>
      <c r="L16" s="2">
        <f>(1/'IRR inputs &amp; outputs'!$B$8)*$B$3*'IRR inputs &amp; outputs'!$B$9+'IRR inputs &amp; outputs'!$B$10</f>
        <v>13720.926315789473</v>
      </c>
    </row>
    <row r="17" spans="1:12">
      <c r="A17" t="s">
        <v>56</v>
      </c>
      <c r="B17" s="2"/>
      <c r="C17" s="46">
        <f>'IRR inputs &amp; outputs'!$B$12</f>
        <v>600</v>
      </c>
      <c r="D17" s="2">
        <f>'IRR inputs &amp; outputs'!$B$12</f>
        <v>600</v>
      </c>
      <c r="E17" s="2">
        <f>'IRR inputs &amp; outputs'!$B$12</f>
        <v>600</v>
      </c>
      <c r="F17" s="2">
        <f>'IRR inputs &amp; outputs'!$B$12</f>
        <v>600</v>
      </c>
      <c r="G17" s="2">
        <f>'IRR inputs &amp; outputs'!$B$12</f>
        <v>600</v>
      </c>
      <c r="H17" s="2">
        <f>'IRR inputs &amp; outputs'!$B$12</f>
        <v>600</v>
      </c>
      <c r="I17" s="2">
        <f>'IRR inputs &amp; outputs'!$B$12</f>
        <v>600</v>
      </c>
      <c r="J17" s="2">
        <f>'IRR inputs &amp; outputs'!$B$12</f>
        <v>600</v>
      </c>
      <c r="K17" s="2">
        <f>'IRR inputs &amp; outputs'!$B$12</f>
        <v>600</v>
      </c>
      <c r="L17" s="2">
        <f>'IRR inputs &amp; outputs'!$B$12</f>
        <v>600</v>
      </c>
    </row>
    <row r="18" spans="1:12">
      <c r="A18" t="s">
        <v>57</v>
      </c>
      <c r="B18" s="2"/>
      <c r="C18" s="2">
        <f>$B$3*'IRR inputs &amp; outputs'!$B$11*'IRR inputs &amp; outputs'!$B$13</f>
        <v>2688.444</v>
      </c>
      <c r="D18" s="2">
        <f>$B$3*'IRR inputs &amp; outputs'!$B$11*'IRR inputs &amp; outputs'!$B$13</f>
        <v>2688.444</v>
      </c>
      <c r="E18" s="2">
        <f>$B$3*'IRR inputs &amp; outputs'!$B$11*'IRR inputs &amp; outputs'!$B$13</f>
        <v>2688.444</v>
      </c>
      <c r="F18" s="2">
        <f>$B$3*'IRR inputs &amp; outputs'!$B$11*'IRR inputs &amp; outputs'!$B$13</f>
        <v>2688.444</v>
      </c>
      <c r="G18" s="2">
        <f>$B$3*'IRR inputs &amp; outputs'!$B$11*'IRR inputs &amp; outputs'!$B$13</f>
        <v>2688.444</v>
      </c>
      <c r="H18" s="2">
        <f>$B$3*'IRR inputs &amp; outputs'!$B$11*'IRR inputs &amp; outputs'!$B$13</f>
        <v>2688.444</v>
      </c>
      <c r="I18" s="2">
        <f>$B$3*'IRR inputs &amp; outputs'!$B$11*'IRR inputs &amp; outputs'!$B$13</f>
        <v>2688.444</v>
      </c>
      <c r="J18" s="2">
        <f>$B$3*'IRR inputs &amp; outputs'!$B$11*'IRR inputs &amp; outputs'!$B$13</f>
        <v>2688.444</v>
      </c>
      <c r="K18" s="2">
        <f>$B$3*'IRR inputs &amp; outputs'!$B$11*'IRR inputs &amp; outputs'!$B$13</f>
        <v>2688.444</v>
      </c>
      <c r="L18" s="2">
        <f>$B$3*'IRR inputs &amp; outputs'!$B$11*'IRR inputs &amp; outputs'!$B$13</f>
        <v>2688.444</v>
      </c>
    </row>
    <row r="19" spans="1:12">
      <c r="A19" t="s">
        <v>58</v>
      </c>
      <c r="B19" s="3">
        <f t="shared" ref="B19:L19" si="1">SUM(B12:B18)</f>
        <v>51000</v>
      </c>
      <c r="C19" s="3">
        <f t="shared" si="1"/>
        <v>22759.370315789474</v>
      </c>
      <c r="D19" s="3">
        <f t="shared" si="1"/>
        <v>22759.370315789474</v>
      </c>
      <c r="E19" s="3">
        <f t="shared" si="1"/>
        <v>22759.370315789474</v>
      </c>
      <c r="F19" s="3">
        <f t="shared" si="1"/>
        <v>22759.370315789474</v>
      </c>
      <c r="G19" s="3">
        <f t="shared" si="1"/>
        <v>57759.370315789478</v>
      </c>
      <c r="H19" s="3">
        <f t="shared" si="1"/>
        <v>22759.370315789474</v>
      </c>
      <c r="I19" s="3">
        <f t="shared" si="1"/>
        <v>22759.370315789474</v>
      </c>
      <c r="J19" s="3">
        <f t="shared" si="1"/>
        <v>22759.370315789474</v>
      </c>
      <c r="K19" s="3">
        <f t="shared" si="1"/>
        <v>22759.370315789474</v>
      </c>
      <c r="L19" s="3">
        <f t="shared" si="1"/>
        <v>22759.370315789474</v>
      </c>
    </row>
    <row r="21" spans="1:12">
      <c r="A21" t="s">
        <v>59</v>
      </c>
      <c r="B21" s="3">
        <f t="shared" ref="B21:L21" si="2">B9-B19</f>
        <v>-51000</v>
      </c>
      <c r="C21" s="3">
        <f t="shared" si="2"/>
        <v>13086.549684210531</v>
      </c>
      <c r="D21" s="3">
        <f t="shared" si="2"/>
        <v>13086.549684210531</v>
      </c>
      <c r="E21" s="3">
        <f t="shared" si="2"/>
        <v>13086.549684210531</v>
      </c>
      <c r="F21" s="3">
        <f t="shared" si="2"/>
        <v>13086.549684210531</v>
      </c>
      <c r="G21" s="3">
        <f t="shared" si="2"/>
        <v>-21913.450315789472</v>
      </c>
      <c r="H21" s="3">
        <f t="shared" si="2"/>
        <v>13086.549684210531</v>
      </c>
      <c r="I21" s="3">
        <f t="shared" si="2"/>
        <v>13086.549684210531</v>
      </c>
      <c r="J21" s="3">
        <f t="shared" si="2"/>
        <v>13086.549684210531</v>
      </c>
      <c r="K21" s="3">
        <f t="shared" si="2"/>
        <v>13086.549684210531</v>
      </c>
      <c r="L21" s="3">
        <f t="shared" si="2"/>
        <v>13086.549684210531</v>
      </c>
    </row>
    <row r="23" spans="1:12">
      <c r="A23" t="s">
        <v>25</v>
      </c>
      <c r="B23" s="4">
        <f>IFERROR(IRR(B21:L21),NA())</f>
        <v>0.13516733021470517</v>
      </c>
    </row>
    <row r="25" spans="1:12">
      <c r="A25" s="1" t="s">
        <v>60</v>
      </c>
    </row>
    <row r="26" spans="1:12">
      <c r="A26" t="s">
        <v>41</v>
      </c>
      <c r="B26" s="4">
        <v>0.1</v>
      </c>
    </row>
    <row r="27" spans="1:12">
      <c r="A27" t="s">
        <v>61</v>
      </c>
      <c r="B27" s="3">
        <f>$B$12*(1-B26)</f>
        <v>45000</v>
      </c>
    </row>
    <row r="28" spans="1:12">
      <c r="A28" s="4" t="s">
        <v>62</v>
      </c>
      <c r="B28" s="3">
        <f>-B27</f>
        <v>-45000</v>
      </c>
      <c r="C28" s="3">
        <f>$C$21</f>
        <v>13086.549684210531</v>
      </c>
      <c r="D28" s="3">
        <f>$D$21</f>
        <v>13086.549684210531</v>
      </c>
      <c r="E28" s="3">
        <f>$E$21</f>
        <v>13086.549684210531</v>
      </c>
      <c r="F28" s="3">
        <f>$F$21</f>
        <v>13086.549684210531</v>
      </c>
      <c r="G28" s="3">
        <f>$G$21</f>
        <v>-21913.450315789472</v>
      </c>
      <c r="H28" s="3">
        <f>$H$21</f>
        <v>13086.549684210531</v>
      </c>
      <c r="I28" s="3">
        <f>$I$21</f>
        <v>13086.549684210531</v>
      </c>
      <c r="J28" s="3">
        <f>$J$21</f>
        <v>13086.549684210531</v>
      </c>
      <c r="K28" s="3">
        <f>$K$21</f>
        <v>13086.549684210531</v>
      </c>
      <c r="L28" s="3">
        <f>$L$21</f>
        <v>13086.549684210531</v>
      </c>
    </row>
    <row r="29" spans="1:12">
      <c r="A29" s="4" t="s">
        <v>25</v>
      </c>
      <c r="B29" s="4">
        <f>IFERROR(IRR(B28:L28),NA())</f>
        <v>0.17000753998506934</v>
      </c>
    </row>
    <row r="30" spans="1:12">
      <c r="A30" s="4"/>
      <c r="B30" s="3"/>
    </row>
    <row r="31" spans="1:12">
      <c r="A31" t="s">
        <v>41</v>
      </c>
      <c r="B31" s="4">
        <v>0.15</v>
      </c>
    </row>
    <row r="32" spans="1:12">
      <c r="A32" t="s">
        <v>61</v>
      </c>
      <c r="B32" s="3">
        <f>$B$12*(1-B31)</f>
        <v>42500</v>
      </c>
    </row>
    <row r="33" spans="1:12">
      <c r="A33" s="4" t="s">
        <v>62</v>
      </c>
      <c r="B33" s="3">
        <f>-B32</f>
        <v>-42500</v>
      </c>
      <c r="C33" s="3">
        <f>$C$21</f>
        <v>13086.549684210531</v>
      </c>
      <c r="D33" s="3">
        <f>$D$21</f>
        <v>13086.549684210531</v>
      </c>
      <c r="E33" s="3">
        <f>$E$21</f>
        <v>13086.549684210531</v>
      </c>
      <c r="F33" s="3">
        <f>$F$21</f>
        <v>13086.549684210531</v>
      </c>
      <c r="G33" s="3">
        <f>$G$21</f>
        <v>-21913.450315789472</v>
      </c>
      <c r="H33" s="3">
        <f>$H$21</f>
        <v>13086.549684210531</v>
      </c>
      <c r="I33" s="3">
        <f>$I$21</f>
        <v>13086.549684210531</v>
      </c>
      <c r="J33" s="3">
        <f>$J$21</f>
        <v>13086.549684210531</v>
      </c>
      <c r="K33" s="3">
        <f>$K$21</f>
        <v>13086.549684210531</v>
      </c>
      <c r="L33" s="3">
        <f>$L$21</f>
        <v>13086.549684210531</v>
      </c>
    </row>
    <row r="34" spans="1:12">
      <c r="A34" s="4" t="s">
        <v>25</v>
      </c>
      <c r="B34" s="4">
        <f>IFERROR(IRR(B33:L33),NA())</f>
        <v>0.18718453824000103</v>
      </c>
    </row>
    <row r="35" spans="1:12">
      <c r="A35" s="4"/>
      <c r="B35" s="3"/>
    </row>
    <row r="36" spans="1:12">
      <c r="A36" t="s">
        <v>41</v>
      </c>
      <c r="B36" s="4">
        <v>0.2</v>
      </c>
    </row>
    <row r="37" spans="1:12">
      <c r="A37" t="s">
        <v>61</v>
      </c>
      <c r="B37" s="3">
        <f>$B$12*(1-B36)</f>
        <v>40000</v>
      </c>
    </row>
    <row r="38" spans="1:12">
      <c r="A38" s="4" t="s">
        <v>62</v>
      </c>
      <c r="B38" s="3">
        <f>-B37</f>
        <v>-40000</v>
      </c>
      <c r="C38" s="3">
        <f>$C$21</f>
        <v>13086.549684210531</v>
      </c>
      <c r="D38" s="3">
        <f>$D$21</f>
        <v>13086.549684210531</v>
      </c>
      <c r="E38" s="3">
        <f>$E$21</f>
        <v>13086.549684210531</v>
      </c>
      <c r="F38" s="3">
        <f>$F$21</f>
        <v>13086.549684210531</v>
      </c>
      <c r="G38" s="3">
        <f>$G$21</f>
        <v>-21913.450315789472</v>
      </c>
      <c r="H38" s="3">
        <f>$H$21</f>
        <v>13086.549684210531</v>
      </c>
      <c r="I38" s="3">
        <f>$I$21</f>
        <v>13086.549684210531</v>
      </c>
      <c r="J38" s="3">
        <f>$J$21</f>
        <v>13086.549684210531</v>
      </c>
      <c r="K38" s="3">
        <f>$K$21</f>
        <v>13086.549684210531</v>
      </c>
      <c r="L38" s="3">
        <f>$L$21</f>
        <v>13086.549684210531</v>
      </c>
    </row>
    <row r="39" spans="1:12">
      <c r="A39" s="4" t="s">
        <v>25</v>
      </c>
      <c r="B39" s="4">
        <f>IFERROR(IRR(B38:L38),NA())</f>
        <v>0.20638088260728238</v>
      </c>
    </row>
    <row r="41" spans="1:12">
      <c r="A41" t="s">
        <v>41</v>
      </c>
      <c r="B41" s="4">
        <v>0.25</v>
      </c>
    </row>
    <row r="42" spans="1:12">
      <c r="A42" t="s">
        <v>61</v>
      </c>
      <c r="B42" s="3">
        <f>$B$12*(1-B41)</f>
        <v>37500</v>
      </c>
    </row>
    <row r="43" spans="1:12">
      <c r="A43" s="4" t="s">
        <v>62</v>
      </c>
      <c r="B43" s="3">
        <f>-B42</f>
        <v>-37500</v>
      </c>
      <c r="C43" s="3">
        <f>$C$21</f>
        <v>13086.549684210531</v>
      </c>
      <c r="D43" s="3">
        <f>$D$21</f>
        <v>13086.549684210531</v>
      </c>
      <c r="E43" s="3">
        <f>$E$21</f>
        <v>13086.549684210531</v>
      </c>
      <c r="F43" s="3">
        <f>$F$21</f>
        <v>13086.549684210531</v>
      </c>
      <c r="G43" s="3">
        <f>$G$21</f>
        <v>-21913.450315789472</v>
      </c>
      <c r="H43" s="3">
        <f>$H$21</f>
        <v>13086.549684210531</v>
      </c>
      <c r="I43" s="3">
        <f>$I$21</f>
        <v>13086.549684210531</v>
      </c>
      <c r="J43" s="3">
        <f>$J$21</f>
        <v>13086.549684210531</v>
      </c>
      <c r="K43" s="3">
        <f>$K$21</f>
        <v>13086.549684210531</v>
      </c>
      <c r="L43" s="3">
        <f>$L$21</f>
        <v>13086.549684210531</v>
      </c>
    </row>
    <row r="44" spans="1:12">
      <c r="A44" s="4" t="s">
        <v>25</v>
      </c>
      <c r="B44" s="4">
        <f>IFERROR(IRR(B43:L43),NA())</f>
        <v>0.22802809938631308</v>
      </c>
    </row>
    <row r="46" spans="1:12">
      <c r="A46" t="s">
        <v>41</v>
      </c>
      <c r="B46" s="4">
        <v>0.3</v>
      </c>
    </row>
    <row r="47" spans="1:12">
      <c r="A47" t="s">
        <v>61</v>
      </c>
      <c r="B47" s="3">
        <f>$B$12*(1-B46)</f>
        <v>35000</v>
      </c>
    </row>
    <row r="48" spans="1:12">
      <c r="A48" s="4" t="s">
        <v>62</v>
      </c>
      <c r="B48" s="3">
        <f>-B47</f>
        <v>-35000</v>
      </c>
      <c r="C48" s="3">
        <f>$C$21</f>
        <v>13086.549684210531</v>
      </c>
      <c r="D48" s="3">
        <f>$D$21</f>
        <v>13086.549684210531</v>
      </c>
      <c r="E48" s="3">
        <f>$E$21</f>
        <v>13086.549684210531</v>
      </c>
      <c r="F48" s="3">
        <f>$F$21</f>
        <v>13086.549684210531</v>
      </c>
      <c r="G48" s="3">
        <f>$G$21</f>
        <v>-21913.450315789472</v>
      </c>
      <c r="H48" s="3">
        <f>$H$21</f>
        <v>13086.549684210531</v>
      </c>
      <c r="I48" s="3">
        <f>$I$21</f>
        <v>13086.549684210531</v>
      </c>
      <c r="J48" s="3">
        <f>$J$21</f>
        <v>13086.549684210531</v>
      </c>
      <c r="K48" s="3">
        <f>$K$21</f>
        <v>13086.549684210531</v>
      </c>
      <c r="L48" s="3">
        <f>$L$21</f>
        <v>13086.549684210531</v>
      </c>
    </row>
    <row r="49" spans="1:12">
      <c r="A49" s="4" t="s">
        <v>25</v>
      </c>
      <c r="B49" s="4">
        <f>IFERROR(IRR(B48:L48),NA())</f>
        <v>0.25269242014192961</v>
      </c>
    </row>
    <row r="51" spans="1:12">
      <c r="A51" t="s">
        <v>41</v>
      </c>
      <c r="B51" s="4">
        <v>0.35</v>
      </c>
    </row>
    <row r="52" spans="1:12">
      <c r="A52" t="s">
        <v>61</v>
      </c>
      <c r="B52" s="3">
        <f>$B$12*(1-B51)</f>
        <v>32500</v>
      </c>
    </row>
    <row r="53" spans="1:12">
      <c r="A53" s="4" t="s">
        <v>62</v>
      </c>
      <c r="B53" s="3">
        <f>-B52</f>
        <v>-32500</v>
      </c>
      <c r="C53" s="3">
        <f>$C$21</f>
        <v>13086.549684210531</v>
      </c>
      <c r="D53" s="3">
        <f>$D$21</f>
        <v>13086.549684210531</v>
      </c>
      <c r="E53" s="3">
        <f>$E$21</f>
        <v>13086.549684210531</v>
      </c>
      <c r="F53" s="3">
        <f>$F$21</f>
        <v>13086.549684210531</v>
      </c>
      <c r="G53" s="3">
        <f>$G$21</f>
        <v>-21913.450315789472</v>
      </c>
      <c r="H53" s="3">
        <f>$H$21</f>
        <v>13086.549684210531</v>
      </c>
      <c r="I53" s="3">
        <f>$I$21</f>
        <v>13086.549684210531</v>
      </c>
      <c r="J53" s="3">
        <f>$J$21</f>
        <v>13086.549684210531</v>
      </c>
      <c r="K53" s="3">
        <f>$K$21</f>
        <v>13086.549684210531</v>
      </c>
      <c r="L53" s="3">
        <f>$L$21</f>
        <v>13086.549684210531</v>
      </c>
    </row>
    <row r="54" spans="1:12">
      <c r="A54" s="4" t="s">
        <v>25</v>
      </c>
      <c r="B54" s="4">
        <f>IFERROR(IRR(B53:L53),NA())</f>
        <v>0.28113045071789333</v>
      </c>
    </row>
    <row r="56" spans="1:12">
      <c r="A56" t="s">
        <v>41</v>
      </c>
      <c r="B56" s="4">
        <v>0.4</v>
      </c>
    </row>
    <row r="57" spans="1:12">
      <c r="A57" t="s">
        <v>61</v>
      </c>
      <c r="B57" s="3">
        <f>$B$12*(1-B56)</f>
        <v>30000</v>
      </c>
    </row>
    <row r="58" spans="1:12">
      <c r="A58" s="4" t="s">
        <v>62</v>
      </c>
      <c r="B58" s="3">
        <f>-B57</f>
        <v>-30000</v>
      </c>
      <c r="C58" s="3">
        <f>$C$21</f>
        <v>13086.549684210531</v>
      </c>
      <c r="D58" s="3">
        <f>$D$21</f>
        <v>13086.549684210531</v>
      </c>
      <c r="E58" s="3">
        <f>$E$21</f>
        <v>13086.549684210531</v>
      </c>
      <c r="F58" s="3">
        <f>$F$21</f>
        <v>13086.549684210531</v>
      </c>
      <c r="G58" s="3">
        <f>$G$21</f>
        <v>-21913.450315789472</v>
      </c>
      <c r="H58" s="3">
        <f>$H$21</f>
        <v>13086.549684210531</v>
      </c>
      <c r="I58" s="3">
        <f>$I$21</f>
        <v>13086.549684210531</v>
      </c>
      <c r="J58" s="3">
        <f>$J$21</f>
        <v>13086.549684210531</v>
      </c>
      <c r="K58" s="3">
        <f>$K$21</f>
        <v>13086.549684210531</v>
      </c>
      <c r="L58" s="3">
        <f>$L$21</f>
        <v>13086.549684210531</v>
      </c>
    </row>
    <row r="59" spans="1:12">
      <c r="A59" s="4" t="s">
        <v>25</v>
      </c>
      <c r="B59" s="4">
        <f>IFERROR(IRR(B58:L58),NA())</f>
        <v>0.31437351932089674</v>
      </c>
    </row>
    <row r="61" spans="1:12">
      <c r="A61" t="s">
        <v>41</v>
      </c>
      <c r="B61" s="4">
        <v>0.45</v>
      </c>
    </row>
    <row r="62" spans="1:12">
      <c r="A62" t="s">
        <v>61</v>
      </c>
      <c r="B62" s="3">
        <f>$B$12*(1-B61)</f>
        <v>27500.000000000004</v>
      </c>
    </row>
    <row r="63" spans="1:12">
      <c r="A63" s="4" t="s">
        <v>62</v>
      </c>
      <c r="B63" s="3">
        <f>-B62</f>
        <v>-27500.000000000004</v>
      </c>
      <c r="C63" s="3">
        <f>$C$21</f>
        <v>13086.549684210531</v>
      </c>
      <c r="D63" s="3">
        <f>$D$21</f>
        <v>13086.549684210531</v>
      </c>
      <c r="E63" s="3">
        <f>$E$21</f>
        <v>13086.549684210531</v>
      </c>
      <c r="F63" s="3">
        <f>$F$21</f>
        <v>13086.549684210531</v>
      </c>
      <c r="G63" s="3">
        <f>$G$21</f>
        <v>-21913.450315789472</v>
      </c>
      <c r="H63" s="3">
        <f>$H$21</f>
        <v>13086.549684210531</v>
      </c>
      <c r="I63" s="3">
        <f>$I$21</f>
        <v>13086.549684210531</v>
      </c>
      <c r="J63" s="3">
        <f>$J$21</f>
        <v>13086.549684210531</v>
      </c>
      <c r="K63" s="3">
        <f>$K$21</f>
        <v>13086.549684210531</v>
      </c>
      <c r="L63" s="3">
        <f>$L$21</f>
        <v>13086.549684210531</v>
      </c>
    </row>
    <row r="64" spans="1:12">
      <c r="A64" s="4" t="s">
        <v>25</v>
      </c>
      <c r="B64" s="4">
        <f>IFERROR(IRR(B63:L63),NA())</f>
        <v>0.35385835325636306</v>
      </c>
    </row>
    <row r="66" spans="1:12">
      <c r="A66" t="s">
        <v>41</v>
      </c>
      <c r="B66" s="4">
        <v>0.5</v>
      </c>
    </row>
    <row r="67" spans="1:12">
      <c r="A67" t="s">
        <v>61</v>
      </c>
      <c r="B67" s="3">
        <f>$B$12*(1-B66)</f>
        <v>25000</v>
      </c>
    </row>
    <row r="68" spans="1:12">
      <c r="A68" s="4" t="s">
        <v>62</v>
      </c>
      <c r="B68" s="3">
        <f>-B67</f>
        <v>-25000</v>
      </c>
      <c r="C68" s="3">
        <f>$C$21</f>
        <v>13086.549684210531</v>
      </c>
      <c r="D68" s="3">
        <f>$D$21</f>
        <v>13086.549684210531</v>
      </c>
      <c r="E68" s="3">
        <f>$E$21</f>
        <v>13086.549684210531</v>
      </c>
      <c r="F68" s="3">
        <f>$F$21</f>
        <v>13086.549684210531</v>
      </c>
      <c r="G68" s="3">
        <f>$G$21</f>
        <v>-21913.450315789472</v>
      </c>
      <c r="H68" s="3">
        <f>$H$21</f>
        <v>13086.549684210531</v>
      </c>
      <c r="I68" s="3">
        <f>$I$21</f>
        <v>13086.549684210531</v>
      </c>
      <c r="J68" s="3">
        <f>$J$21</f>
        <v>13086.549684210531</v>
      </c>
      <c r="K68" s="3">
        <f>$K$21</f>
        <v>13086.549684210531</v>
      </c>
      <c r="L68" s="3">
        <f>$L$21</f>
        <v>13086.549684210531</v>
      </c>
    </row>
    <row r="69" spans="1:12">
      <c r="A69" s="4" t="s">
        <v>25</v>
      </c>
      <c r="B69" s="4">
        <f>IFERROR(IRR(B68:L68),NA())</f>
        <v>0.40163438056344347</v>
      </c>
    </row>
    <row r="71" spans="1:12">
      <c r="A71" t="s">
        <v>41</v>
      </c>
      <c r="B71" s="4">
        <v>0.55000000000000004</v>
      </c>
    </row>
    <row r="72" spans="1:12">
      <c r="A72" t="s">
        <v>61</v>
      </c>
      <c r="B72" s="3">
        <f>$B$12*(1-B71)</f>
        <v>22499.999999999996</v>
      </c>
    </row>
    <row r="73" spans="1:12">
      <c r="A73" s="4" t="s">
        <v>62</v>
      </c>
      <c r="B73" s="3">
        <f>-B72</f>
        <v>-22499.999999999996</v>
      </c>
      <c r="C73" s="3">
        <f>$C$21</f>
        <v>13086.549684210531</v>
      </c>
      <c r="D73" s="3">
        <f>$D$21</f>
        <v>13086.549684210531</v>
      </c>
      <c r="E73" s="3">
        <f>$E$21</f>
        <v>13086.549684210531</v>
      </c>
      <c r="F73" s="3">
        <f>$F$21</f>
        <v>13086.549684210531</v>
      </c>
      <c r="G73" s="3">
        <f>$G$21</f>
        <v>-21913.450315789472</v>
      </c>
      <c r="H73" s="3">
        <f>$H$21</f>
        <v>13086.549684210531</v>
      </c>
      <c r="I73" s="3">
        <f>$I$21</f>
        <v>13086.549684210531</v>
      </c>
      <c r="J73" s="3">
        <f>$J$21</f>
        <v>13086.549684210531</v>
      </c>
      <c r="K73" s="3">
        <f>$K$21</f>
        <v>13086.549684210531</v>
      </c>
      <c r="L73" s="3">
        <f>$L$21</f>
        <v>13086.549684210531</v>
      </c>
    </row>
    <row r="74" spans="1:12">
      <c r="A74" s="4" t="s">
        <v>25</v>
      </c>
      <c r="B74" s="4">
        <f>IFERROR(IRR(B73:L73),NA())</f>
        <v>0.46070132444177969</v>
      </c>
    </row>
    <row r="76" spans="1:12">
      <c r="A76" t="s">
        <v>41</v>
      </c>
      <c r="B76" s="4">
        <v>0.6</v>
      </c>
    </row>
    <row r="77" spans="1:12">
      <c r="A77" t="s">
        <v>61</v>
      </c>
      <c r="B77" s="3">
        <f>$B$12*(1-B76)</f>
        <v>20000</v>
      </c>
    </row>
    <row r="78" spans="1:12">
      <c r="A78" s="4" t="s">
        <v>62</v>
      </c>
      <c r="B78" s="3">
        <f>-B77</f>
        <v>-20000</v>
      </c>
      <c r="C78" s="3">
        <f>$C$21</f>
        <v>13086.549684210531</v>
      </c>
      <c r="D78" s="3">
        <f>$D$21</f>
        <v>13086.549684210531</v>
      </c>
      <c r="E78" s="3">
        <f>$E$21</f>
        <v>13086.549684210531</v>
      </c>
      <c r="F78" s="3">
        <f>$F$21</f>
        <v>13086.549684210531</v>
      </c>
      <c r="G78" s="3">
        <f>$G$21</f>
        <v>-21913.450315789472</v>
      </c>
      <c r="H78" s="3">
        <f>$H$21</f>
        <v>13086.549684210531</v>
      </c>
      <c r="I78" s="3">
        <f>$I$21</f>
        <v>13086.549684210531</v>
      </c>
      <c r="J78" s="3">
        <f>$J$21</f>
        <v>13086.549684210531</v>
      </c>
      <c r="K78" s="3">
        <f>$K$21</f>
        <v>13086.549684210531</v>
      </c>
      <c r="L78" s="3">
        <f>$L$21</f>
        <v>13086.549684210531</v>
      </c>
    </row>
    <row r="79" spans="1:12">
      <c r="A79" s="4" t="s">
        <v>25</v>
      </c>
      <c r="B79" s="4">
        <f>IFERROR(IRR(B78:L78),NA())</f>
        <v>0.53557691385876982</v>
      </c>
    </row>
    <row r="81" spans="1:12">
      <c r="A81" t="s">
        <v>41</v>
      </c>
      <c r="B81" s="4">
        <v>0.65</v>
      </c>
    </row>
    <row r="82" spans="1:12">
      <c r="A82" t="s">
        <v>61</v>
      </c>
      <c r="B82" s="3">
        <f>$B$12*(1-B81)</f>
        <v>17500</v>
      </c>
    </row>
    <row r="83" spans="1:12">
      <c r="A83" s="4" t="s">
        <v>62</v>
      </c>
      <c r="B83" s="3">
        <f>-B82</f>
        <v>-17500</v>
      </c>
      <c r="C83" s="3">
        <f>$C$21</f>
        <v>13086.549684210531</v>
      </c>
      <c r="D83" s="3">
        <f>$D$21</f>
        <v>13086.549684210531</v>
      </c>
      <c r="E83" s="3">
        <f>$E$21</f>
        <v>13086.549684210531</v>
      </c>
      <c r="F83" s="3">
        <f>$F$21</f>
        <v>13086.549684210531</v>
      </c>
      <c r="G83" s="3">
        <f>$G$21</f>
        <v>-21913.450315789472</v>
      </c>
      <c r="H83" s="3">
        <f>$H$21</f>
        <v>13086.549684210531</v>
      </c>
      <c r="I83" s="3">
        <f>$I$21</f>
        <v>13086.549684210531</v>
      </c>
      <c r="J83" s="3">
        <f>$J$21</f>
        <v>13086.549684210531</v>
      </c>
      <c r="K83" s="3">
        <f>$K$21</f>
        <v>13086.549684210531</v>
      </c>
      <c r="L83" s="3">
        <f>$L$21</f>
        <v>13086.549684210531</v>
      </c>
    </row>
    <row r="84" spans="1:12">
      <c r="A84" s="4" t="s">
        <v>25</v>
      </c>
      <c r="B84" s="4">
        <f>IFERROR(IRR(B83:L83),NA())</f>
        <v>0.63329630901681067</v>
      </c>
    </row>
    <row r="86" spans="1:12">
      <c r="A86" t="s">
        <v>41</v>
      </c>
      <c r="B86" s="4">
        <v>0.7</v>
      </c>
    </row>
    <row r="87" spans="1:12">
      <c r="A87" t="s">
        <v>61</v>
      </c>
      <c r="B87" s="3">
        <f>$B$12*(1-B86)</f>
        <v>15000.000000000002</v>
      </c>
    </row>
    <row r="88" spans="1:12">
      <c r="A88" s="4" t="s">
        <v>62</v>
      </c>
      <c r="B88" s="3">
        <f>-B87</f>
        <v>-15000.000000000002</v>
      </c>
      <c r="C88" s="3">
        <f>$C$21</f>
        <v>13086.549684210531</v>
      </c>
      <c r="D88" s="3">
        <f>$D$21</f>
        <v>13086.549684210531</v>
      </c>
      <c r="E88" s="3">
        <f>$E$21</f>
        <v>13086.549684210531</v>
      </c>
      <c r="F88" s="3">
        <f>$F$21</f>
        <v>13086.549684210531</v>
      </c>
      <c r="G88" s="3">
        <f>$G$21</f>
        <v>-21913.450315789472</v>
      </c>
      <c r="H88" s="3">
        <f>$H$21</f>
        <v>13086.549684210531</v>
      </c>
      <c r="I88" s="3">
        <f>$I$21</f>
        <v>13086.549684210531</v>
      </c>
      <c r="J88" s="3">
        <f>$J$21</f>
        <v>13086.549684210531</v>
      </c>
      <c r="K88" s="3">
        <f>$K$21</f>
        <v>13086.549684210531</v>
      </c>
      <c r="L88" s="3">
        <f>$L$21</f>
        <v>13086.549684210531</v>
      </c>
    </row>
    <row r="89" spans="1:12">
      <c r="A89" s="4" t="s">
        <v>25</v>
      </c>
      <c r="B89" s="4">
        <f>IFERROR(IRR(B88:L88),NA())</f>
        <v>0.76530544406390733</v>
      </c>
    </row>
    <row r="91" spans="1:12">
      <c r="A91" t="s">
        <v>41</v>
      </c>
      <c r="B91" s="4">
        <v>0.75</v>
      </c>
    </row>
    <row r="92" spans="1:12">
      <c r="A92" t="s">
        <v>61</v>
      </c>
      <c r="B92" s="3">
        <f>$B$12*(1-B91)</f>
        <v>12500</v>
      </c>
    </row>
    <row r="93" spans="1:12">
      <c r="A93" s="4" t="s">
        <v>62</v>
      </c>
      <c r="B93" s="3">
        <f>-B92</f>
        <v>-12500</v>
      </c>
      <c r="C93" s="3">
        <f>$C$21</f>
        <v>13086.549684210531</v>
      </c>
      <c r="D93" s="3">
        <f>$D$21</f>
        <v>13086.549684210531</v>
      </c>
      <c r="E93" s="3">
        <f>$E$21</f>
        <v>13086.549684210531</v>
      </c>
      <c r="F93" s="3">
        <f>$F$21</f>
        <v>13086.549684210531</v>
      </c>
      <c r="G93" s="3">
        <f>$G$21</f>
        <v>-21913.450315789472</v>
      </c>
      <c r="H93" s="3">
        <f>$H$21</f>
        <v>13086.549684210531</v>
      </c>
      <c r="I93" s="3">
        <f>$I$21</f>
        <v>13086.549684210531</v>
      </c>
      <c r="J93" s="3">
        <f>$J$21</f>
        <v>13086.549684210531</v>
      </c>
      <c r="K93" s="3">
        <f>$K$21</f>
        <v>13086.549684210531</v>
      </c>
      <c r="L93" s="3">
        <f>$L$21</f>
        <v>13086.549684210531</v>
      </c>
    </row>
    <row r="94" spans="1:12">
      <c r="A94" s="4" t="s">
        <v>25</v>
      </c>
      <c r="B94" s="4">
        <f>IFERROR(IRR(B93:L93),NA())</f>
        <v>0.95148587980096266</v>
      </c>
    </row>
    <row r="96" spans="1:12">
      <c r="A96" t="s">
        <v>41</v>
      </c>
      <c r="B96" s="4">
        <v>0.8</v>
      </c>
    </row>
    <row r="97" spans="1:12">
      <c r="A97" t="s">
        <v>61</v>
      </c>
      <c r="B97" s="3">
        <f>$B$12*(1-B96)</f>
        <v>9999.9999999999982</v>
      </c>
    </row>
    <row r="98" spans="1:12">
      <c r="A98" s="4" t="s">
        <v>62</v>
      </c>
      <c r="B98" s="3">
        <f>-B97</f>
        <v>-9999.9999999999982</v>
      </c>
      <c r="C98" s="3">
        <f>$C$21</f>
        <v>13086.549684210531</v>
      </c>
      <c r="D98" s="3">
        <f>$D$21</f>
        <v>13086.549684210531</v>
      </c>
      <c r="E98" s="3">
        <f>$E$21</f>
        <v>13086.549684210531</v>
      </c>
      <c r="F98" s="3">
        <f>$F$21</f>
        <v>13086.549684210531</v>
      </c>
      <c r="G98" s="3">
        <f>$G$21</f>
        <v>-21913.450315789472</v>
      </c>
      <c r="H98" s="3">
        <f>$H$21</f>
        <v>13086.549684210531</v>
      </c>
      <c r="I98" s="3">
        <f>$I$21</f>
        <v>13086.549684210531</v>
      </c>
      <c r="J98" s="3">
        <f>$J$21</f>
        <v>13086.549684210531</v>
      </c>
      <c r="K98" s="3">
        <f>$K$21</f>
        <v>13086.549684210531</v>
      </c>
      <c r="L98" s="3">
        <f>$L$21</f>
        <v>13086.549684210531</v>
      </c>
    </row>
    <row r="99" spans="1:12">
      <c r="A99" s="4" t="s">
        <v>25</v>
      </c>
      <c r="B99" s="4">
        <f>IFERROR(IRR(B98:L98),NA())</f>
        <v>1.2301816258146401</v>
      </c>
    </row>
    <row r="101" spans="1:12">
      <c r="A101" t="s">
        <v>41</v>
      </c>
      <c r="B101" s="4">
        <v>0.85</v>
      </c>
    </row>
    <row r="102" spans="1:12">
      <c r="A102" t="s">
        <v>61</v>
      </c>
      <c r="B102" s="3">
        <f>$B$12*(1-B101)</f>
        <v>7500.0000000000009</v>
      </c>
    </row>
    <row r="103" spans="1:12">
      <c r="A103" s="4" t="s">
        <v>62</v>
      </c>
      <c r="B103" s="3">
        <f>-B102</f>
        <v>-7500.0000000000009</v>
      </c>
      <c r="C103" s="3">
        <f>$C$21</f>
        <v>13086.549684210531</v>
      </c>
      <c r="D103" s="3">
        <f>$D$21</f>
        <v>13086.549684210531</v>
      </c>
      <c r="E103" s="3">
        <f>$E$21</f>
        <v>13086.549684210531</v>
      </c>
      <c r="F103" s="3">
        <f>$F$21</f>
        <v>13086.549684210531</v>
      </c>
      <c r="G103" s="3">
        <f>$G$21</f>
        <v>-21913.450315789472</v>
      </c>
      <c r="H103" s="3">
        <f>$H$21</f>
        <v>13086.549684210531</v>
      </c>
      <c r="I103" s="3">
        <f>$I$21</f>
        <v>13086.549684210531</v>
      </c>
      <c r="J103" s="3">
        <f>$J$21</f>
        <v>13086.549684210531</v>
      </c>
      <c r="K103" s="3">
        <f>$K$21</f>
        <v>13086.549684210531</v>
      </c>
      <c r="L103" s="3">
        <f>$L$21</f>
        <v>13086.549684210531</v>
      </c>
    </row>
    <row r="104" spans="1:12">
      <c r="A104" s="4" t="s">
        <v>25</v>
      </c>
      <c r="B104" s="4">
        <f>IFERROR(IRR(B103:L103),NA())</f>
        <v>1.688699792747824</v>
      </c>
    </row>
    <row r="106" spans="1:12">
      <c r="A106" t="s">
        <v>41</v>
      </c>
      <c r="B106" s="4">
        <v>0.9</v>
      </c>
    </row>
    <row r="107" spans="1:12">
      <c r="A107" t="s">
        <v>61</v>
      </c>
      <c r="B107" s="3">
        <f>$B$12*(1-B106)</f>
        <v>4999.9999999999991</v>
      </c>
    </row>
    <row r="108" spans="1:12">
      <c r="A108" s="4" t="s">
        <v>62</v>
      </c>
      <c r="B108" s="3">
        <f>-B107</f>
        <v>-4999.9999999999991</v>
      </c>
      <c r="C108" s="3">
        <f>$C$21</f>
        <v>13086.549684210531</v>
      </c>
      <c r="D108" s="3">
        <f>$D$21</f>
        <v>13086.549684210531</v>
      </c>
      <c r="E108" s="3">
        <f>$E$21</f>
        <v>13086.549684210531</v>
      </c>
      <c r="F108" s="3">
        <f>$F$21</f>
        <v>13086.549684210531</v>
      </c>
      <c r="G108" s="3">
        <f>$G$21</f>
        <v>-21913.450315789472</v>
      </c>
      <c r="H108" s="3">
        <f>$H$21</f>
        <v>13086.549684210531</v>
      </c>
      <c r="I108" s="3">
        <f>$I$21</f>
        <v>13086.549684210531</v>
      </c>
      <c r="J108" s="3">
        <f>$J$21</f>
        <v>13086.549684210531</v>
      </c>
      <c r="K108" s="3">
        <f>$K$21</f>
        <v>13086.549684210531</v>
      </c>
      <c r="L108" s="3">
        <f>$L$21</f>
        <v>13086.549684210531</v>
      </c>
    </row>
    <row r="109" spans="1:12">
      <c r="A109" s="4" t="s">
        <v>25</v>
      </c>
      <c r="B109" s="4">
        <f>IFERROR(IRR(B108:L108),NA())</f>
        <v>2.5868007605844126</v>
      </c>
    </row>
    <row r="111" spans="1:12">
      <c r="A111" t="s">
        <v>41</v>
      </c>
      <c r="B111" s="4">
        <v>0.95</v>
      </c>
    </row>
    <row r="112" spans="1:12">
      <c r="A112" t="s">
        <v>61</v>
      </c>
      <c r="B112" s="3">
        <f>$B$12*(1-B111)</f>
        <v>2500.0000000000023</v>
      </c>
    </row>
    <row r="113" spans="1:20">
      <c r="A113" s="4" t="s">
        <v>62</v>
      </c>
      <c r="B113" s="3">
        <f>-B112</f>
        <v>-2500.0000000000023</v>
      </c>
      <c r="C113" s="3">
        <f>$C$21</f>
        <v>13086.549684210531</v>
      </c>
      <c r="D113" s="3">
        <f>$D$21</f>
        <v>13086.549684210531</v>
      </c>
      <c r="E113" s="3">
        <f>$E$21</f>
        <v>13086.549684210531</v>
      </c>
      <c r="F113" s="3">
        <f>$F$21</f>
        <v>13086.549684210531</v>
      </c>
      <c r="G113" s="3">
        <f>$G$21</f>
        <v>-21913.450315789472</v>
      </c>
      <c r="H113" s="3">
        <f>$H$21</f>
        <v>13086.549684210531</v>
      </c>
      <c r="I113" s="3">
        <f>$I$21</f>
        <v>13086.549684210531</v>
      </c>
      <c r="J113" s="3">
        <f>$J$21</f>
        <v>13086.549684210531</v>
      </c>
      <c r="K113" s="3">
        <f>$K$21</f>
        <v>13086.549684210531</v>
      </c>
      <c r="L113" s="3">
        <f>$L$21</f>
        <v>13086.549684210531</v>
      </c>
    </row>
    <row r="114" spans="1:20">
      <c r="A114" s="4" t="s">
        <v>25</v>
      </c>
      <c r="B114" s="4">
        <f>IFERROR(IRR(B113:L113),NA())</f>
        <v>5.2268028415303709</v>
      </c>
    </row>
    <row r="116" spans="1:20">
      <c r="A116" t="s">
        <v>41</v>
      </c>
      <c r="B116" s="4">
        <v>1</v>
      </c>
    </row>
    <row r="117" spans="1:20">
      <c r="A117" t="s">
        <v>61</v>
      </c>
      <c r="B117" s="3">
        <f>$B$12*(1-B116)</f>
        <v>0</v>
      </c>
    </row>
    <row r="118" spans="1:20">
      <c r="A118" s="4" t="s">
        <v>62</v>
      </c>
      <c r="B118" s="3">
        <f>-B117</f>
        <v>0</v>
      </c>
      <c r="C118" s="3">
        <f>$C$21</f>
        <v>13086.549684210531</v>
      </c>
      <c r="D118" s="3">
        <f>$D$21</f>
        <v>13086.549684210531</v>
      </c>
      <c r="E118" s="3">
        <f>$E$21</f>
        <v>13086.549684210531</v>
      </c>
      <c r="F118" s="3">
        <f>$F$21</f>
        <v>13086.549684210531</v>
      </c>
      <c r="G118" s="3">
        <f>$G$21</f>
        <v>-21913.450315789472</v>
      </c>
      <c r="H118" s="3">
        <f>$H$21</f>
        <v>13086.549684210531</v>
      </c>
      <c r="I118" s="3">
        <f>$I$21</f>
        <v>13086.549684210531</v>
      </c>
      <c r="J118" s="3">
        <f>$J$21</f>
        <v>13086.549684210531</v>
      </c>
      <c r="K118" s="3">
        <f>$K$21</f>
        <v>13086.549684210531</v>
      </c>
      <c r="L118" s="3">
        <f>$L$21</f>
        <v>13086.549684210531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63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>
        <f>B29</f>
        <v>0.17000753998506934</v>
      </c>
      <c r="C124" s="4">
        <f>B34</f>
        <v>0.18718453824000103</v>
      </c>
      <c r="D124" s="4">
        <f>B39</f>
        <v>0.20638088260728238</v>
      </c>
      <c r="E124" s="4">
        <f>B44</f>
        <v>0.22802809938631308</v>
      </c>
      <c r="F124" s="4">
        <f>B49</f>
        <v>0.25269242014192961</v>
      </c>
      <c r="G124" s="4">
        <f>B54</f>
        <v>0.28113045071789333</v>
      </c>
      <c r="H124" s="4">
        <f>B59</f>
        <v>0.31437351932089674</v>
      </c>
      <c r="I124" s="4">
        <f>B64</f>
        <v>0.35385835325636306</v>
      </c>
      <c r="J124" s="4">
        <f>B69</f>
        <v>0.40163438056344347</v>
      </c>
      <c r="K124" s="4">
        <f>B74</f>
        <v>0.46070132444177969</v>
      </c>
      <c r="L124" s="4">
        <f>B79</f>
        <v>0.53557691385876982</v>
      </c>
      <c r="M124" s="4">
        <f>B84</f>
        <v>0.63329630901681067</v>
      </c>
      <c r="N124" s="4">
        <f>B89</f>
        <v>0.76530544406390733</v>
      </c>
      <c r="O124" s="4">
        <f>B94</f>
        <v>0.95148587980096266</v>
      </c>
      <c r="P124" s="4">
        <f>B99</f>
        <v>1.2301816258146401</v>
      </c>
      <c r="Q124" s="4">
        <f>B104</f>
        <v>1.688699792747824</v>
      </c>
      <c r="R124" s="4">
        <f>B109</f>
        <v>2.5868007605844126</v>
      </c>
      <c r="S124" s="4">
        <f>B114</f>
        <v>5.2268028415303709</v>
      </c>
      <c r="T124" s="4" t="e">
        <f>B119</f>
        <v>#N/A</v>
      </c>
    </row>
    <row r="125" spans="1:20">
      <c r="A125" t="s">
        <v>64</v>
      </c>
      <c r="B125" s="4" t="e">
        <f>LOOKUP('IRR inputs &amp; outputs'!B18, B124:P124, B123:P123)</f>
        <v>#N/A</v>
      </c>
    </row>
    <row r="126" spans="1:20">
      <c r="A126" t="s">
        <v>65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C9213-B429-4F46-82AF-2486D713C48E}">
  <dimension ref="A1:T126"/>
  <sheetViews>
    <sheetView workbookViewId="0">
      <selection activeCell="A17" sqref="A17:L18"/>
    </sheetView>
  </sheetViews>
  <sheetFormatPr defaultRowHeight="14.25"/>
  <cols>
    <col min="1" max="1" width="20" customWidth="1"/>
  </cols>
  <sheetData>
    <row r="1" spans="1:15">
      <c r="A1" s="1" t="s">
        <v>24</v>
      </c>
      <c r="B1" s="28">
        <v>0.17499999999999999</v>
      </c>
    </row>
    <row r="2" spans="1:15">
      <c r="A2" t="s">
        <v>44</v>
      </c>
      <c r="B2">
        <f>24*365</f>
        <v>8760</v>
      </c>
    </row>
    <row r="3" spans="1:15">
      <c r="A3" t="s">
        <v>45</v>
      </c>
      <c r="B3">
        <f>B2*B1*'IRR inputs &amp; outputs'!B2*'IRR inputs &amp; outputs'!B3*'IRR inputs &amp; outputs'!$B$7</f>
        <v>76036.800000000003</v>
      </c>
      <c r="C3" t="s">
        <v>46</v>
      </c>
    </row>
    <row r="5" spans="1:15">
      <c r="A5" s="1" t="s">
        <v>47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48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49</v>
      </c>
      <c r="B7" s="2"/>
      <c r="C7" s="2">
        <f>$B$3*'IRR inputs &amp; outputs'!$B$13</f>
        <v>41820.240000000005</v>
      </c>
      <c r="D7" s="2">
        <f>$B$3*'IRR inputs &amp; outputs'!$B$13</f>
        <v>41820.240000000005</v>
      </c>
      <c r="E7" s="2">
        <f>$B$3*'IRR inputs &amp; outputs'!$B$13</f>
        <v>41820.240000000005</v>
      </c>
      <c r="F7" s="2">
        <f>$B$3*'IRR inputs &amp; outputs'!$B$13</f>
        <v>41820.240000000005</v>
      </c>
      <c r="G7" s="2">
        <f>$B$3*'IRR inputs &amp; outputs'!$B$13</f>
        <v>41820.240000000005</v>
      </c>
      <c r="H7" s="2">
        <f>$B$3*'IRR inputs &amp; outputs'!$B$13</f>
        <v>41820.240000000005</v>
      </c>
      <c r="I7" s="2">
        <f>$B$3*'IRR inputs &amp; outputs'!$B$13</f>
        <v>41820.240000000005</v>
      </c>
      <c r="J7" s="2">
        <f>$B$3*'IRR inputs &amp; outputs'!$B$13</f>
        <v>41820.240000000005</v>
      </c>
      <c r="K7" s="2">
        <f>$B$3*'IRR inputs &amp; outputs'!$B$13</f>
        <v>41820.240000000005</v>
      </c>
      <c r="L7" s="2">
        <f>$B$3*'IRR inputs &amp; outputs'!$B$13</f>
        <v>41820.240000000005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50</v>
      </c>
      <c r="B9" s="2"/>
      <c r="C9" s="2">
        <f t="shared" ref="C9:L9" si="0">SUM(C7:C8)</f>
        <v>41820.240000000005</v>
      </c>
      <c r="D9" s="2">
        <f t="shared" si="0"/>
        <v>41820.240000000005</v>
      </c>
      <c r="E9" s="2">
        <f t="shared" si="0"/>
        <v>41820.240000000005</v>
      </c>
      <c r="F9" s="2">
        <f t="shared" si="0"/>
        <v>41820.240000000005</v>
      </c>
      <c r="G9" s="2">
        <f t="shared" si="0"/>
        <v>41820.240000000005</v>
      </c>
      <c r="H9" s="2">
        <f t="shared" si="0"/>
        <v>41820.240000000005</v>
      </c>
      <c r="I9" s="2">
        <f t="shared" si="0"/>
        <v>41820.240000000005</v>
      </c>
      <c r="J9" s="2">
        <f t="shared" si="0"/>
        <v>41820.240000000005</v>
      </c>
      <c r="K9" s="2">
        <f t="shared" si="0"/>
        <v>41820.240000000005</v>
      </c>
      <c r="L9" s="2">
        <f t="shared" si="0"/>
        <v>41820.240000000005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51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50000</v>
      </c>
      <c r="C12" s="2"/>
      <c r="D12" s="2"/>
      <c r="E12" s="2"/>
      <c r="F12" s="2"/>
      <c r="G12" s="2">
        <f>'IRR inputs &amp; outputs'!B15</f>
        <v>35000</v>
      </c>
      <c r="H12" s="2"/>
      <c r="I12" s="2"/>
      <c r="J12" s="2"/>
      <c r="K12" s="2"/>
      <c r="L12" s="2"/>
    </row>
    <row r="13" spans="1:15">
      <c r="A13" t="s">
        <v>52</v>
      </c>
      <c r="B13" s="2">
        <f>'IRR inputs &amp; outputs'!B16</f>
        <v>1000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53</v>
      </c>
      <c r="B14" s="2"/>
      <c r="C14" s="2">
        <f>'IRR inputs &amp; outputs'!$B$17</f>
        <v>5000</v>
      </c>
      <c r="D14" s="2">
        <f>'IRR inputs &amp; outputs'!$B$17</f>
        <v>5000</v>
      </c>
      <c r="E14" s="2">
        <f>'IRR inputs &amp; outputs'!$B$17</f>
        <v>5000</v>
      </c>
      <c r="F14" s="2">
        <f>'IRR inputs &amp; outputs'!$B$17</f>
        <v>5000</v>
      </c>
      <c r="G14" s="2">
        <f>'IRR inputs &amp; outputs'!$B$17</f>
        <v>5000</v>
      </c>
      <c r="H14" s="2">
        <f>'IRR inputs &amp; outputs'!$B$17</f>
        <v>5000</v>
      </c>
      <c r="I14" s="2">
        <f>'IRR inputs &amp; outputs'!$B$17</f>
        <v>5000</v>
      </c>
      <c r="J14" s="2">
        <f>'IRR inputs &amp; outputs'!$B$17</f>
        <v>5000</v>
      </c>
      <c r="K14" s="2">
        <f>'IRR inputs &amp; outputs'!$B$17</f>
        <v>5000</v>
      </c>
      <c r="L14" s="2">
        <f>'IRR inputs &amp; outputs'!$B$17</f>
        <v>5000</v>
      </c>
    </row>
    <row r="15" spans="1:15">
      <c r="A15" t="s">
        <v>54</v>
      </c>
      <c r="B15" s="2"/>
      <c r="C15" s="2">
        <f>'IRR inputs &amp; outputs'!B14</f>
        <v>750</v>
      </c>
      <c r="D15" s="2">
        <f>'IRR inputs &amp; outputs'!B14</f>
        <v>750</v>
      </c>
      <c r="E15" s="2">
        <f>'IRR inputs &amp; outputs'!B14</f>
        <v>750</v>
      </c>
      <c r="F15" s="2">
        <f>'IRR inputs &amp; outputs'!B14</f>
        <v>750</v>
      </c>
      <c r="G15" s="2">
        <f>'IRR inputs &amp; outputs'!B14</f>
        <v>750</v>
      </c>
      <c r="H15" s="2">
        <f>'IRR inputs &amp; outputs'!B14</f>
        <v>750</v>
      </c>
      <c r="I15" s="2">
        <f>'IRR inputs &amp; outputs'!B14</f>
        <v>750</v>
      </c>
      <c r="J15" s="2">
        <f>'IRR inputs &amp; outputs'!B14</f>
        <v>750</v>
      </c>
      <c r="K15" s="2">
        <f>'IRR inputs &amp; outputs'!B14</f>
        <v>750</v>
      </c>
      <c r="L15" s="2">
        <f>'IRR inputs &amp; outputs'!B14</f>
        <v>750</v>
      </c>
    </row>
    <row r="16" spans="1:15">
      <c r="A16" t="s">
        <v>55</v>
      </c>
      <c r="B16" s="2"/>
      <c r="C16" s="2">
        <f>(1/'IRR inputs &amp; outputs'!$B$8)*$B$3*'IRR inputs &amp; outputs'!$B$9+'IRR inputs &amp; outputs'!$B$10</f>
        <v>16007.747368421054</v>
      </c>
      <c r="D16" s="2">
        <f>(1/'IRR inputs &amp; outputs'!$B$8)*$B$3*'IRR inputs &amp; outputs'!$B$9+'IRR inputs &amp; outputs'!$B$10</f>
        <v>16007.747368421054</v>
      </c>
      <c r="E16" s="2">
        <f>(1/'IRR inputs &amp; outputs'!$B$8)*$B$3*'IRR inputs &amp; outputs'!$B$9+'IRR inputs &amp; outputs'!$B$10</f>
        <v>16007.747368421054</v>
      </c>
      <c r="F16" s="2">
        <f>(1/'IRR inputs &amp; outputs'!$B$8)*$B$3*'IRR inputs &amp; outputs'!$B$9+'IRR inputs &amp; outputs'!$B$10</f>
        <v>16007.747368421054</v>
      </c>
      <c r="G16" s="2">
        <f>(1/'IRR inputs &amp; outputs'!$B$8)*$B$3*'IRR inputs &amp; outputs'!$B$9+'IRR inputs &amp; outputs'!$B$10</f>
        <v>16007.747368421054</v>
      </c>
      <c r="H16" s="2">
        <f>(1/'IRR inputs &amp; outputs'!$B$8)*$B$3*'IRR inputs &amp; outputs'!$B$9+'IRR inputs &amp; outputs'!$B$10</f>
        <v>16007.747368421054</v>
      </c>
      <c r="I16" s="2">
        <f>(1/'IRR inputs &amp; outputs'!$B$8)*$B$3*'IRR inputs &amp; outputs'!$B$9+'IRR inputs &amp; outputs'!$B$10</f>
        <v>16007.747368421054</v>
      </c>
      <c r="J16" s="2">
        <f>(1/'IRR inputs &amp; outputs'!$B$8)*$B$3*'IRR inputs &amp; outputs'!$B$9+'IRR inputs &amp; outputs'!$B$10</f>
        <v>16007.747368421054</v>
      </c>
      <c r="K16" s="2">
        <f>(1/'IRR inputs &amp; outputs'!$B$8)*$B$3*'IRR inputs &amp; outputs'!$B$9+'IRR inputs &amp; outputs'!$B$10</f>
        <v>16007.747368421054</v>
      </c>
      <c r="L16" s="2">
        <f>(1/'IRR inputs &amp; outputs'!$B$8)*$B$3*'IRR inputs &amp; outputs'!$B$9+'IRR inputs &amp; outputs'!$B$10</f>
        <v>16007.747368421054</v>
      </c>
    </row>
    <row r="17" spans="1:12">
      <c r="A17" t="s">
        <v>56</v>
      </c>
      <c r="B17" s="2"/>
      <c r="C17" s="46">
        <f>'IRR inputs &amp; outputs'!$B$12</f>
        <v>600</v>
      </c>
      <c r="D17" s="2">
        <f>'IRR inputs &amp; outputs'!$B$12</f>
        <v>600</v>
      </c>
      <c r="E17" s="2">
        <f>'IRR inputs &amp; outputs'!$B$12</f>
        <v>600</v>
      </c>
      <c r="F17" s="2">
        <f>'IRR inputs &amp; outputs'!$B$12</f>
        <v>600</v>
      </c>
      <c r="G17" s="2">
        <f>'IRR inputs &amp; outputs'!$B$12</f>
        <v>600</v>
      </c>
      <c r="H17" s="2">
        <f>'IRR inputs &amp; outputs'!$B$12</f>
        <v>600</v>
      </c>
      <c r="I17" s="2">
        <f>'IRR inputs &amp; outputs'!$B$12</f>
        <v>600</v>
      </c>
      <c r="J17" s="2">
        <f>'IRR inputs &amp; outputs'!$B$12</f>
        <v>600</v>
      </c>
      <c r="K17" s="2">
        <f>'IRR inputs &amp; outputs'!$B$12</f>
        <v>600</v>
      </c>
      <c r="L17" s="2">
        <f>'IRR inputs &amp; outputs'!$B$12</f>
        <v>600</v>
      </c>
    </row>
    <row r="18" spans="1:12">
      <c r="A18" t="s">
        <v>57</v>
      </c>
      <c r="B18" s="2"/>
      <c r="C18" s="2">
        <f>$B$3*'IRR inputs &amp; outputs'!$B$11*'IRR inputs &amp; outputs'!$B$13</f>
        <v>3136.5180000000005</v>
      </c>
      <c r="D18" s="2">
        <f>$B$3*'IRR inputs &amp; outputs'!$B$11*'IRR inputs &amp; outputs'!$B$13</f>
        <v>3136.5180000000005</v>
      </c>
      <c r="E18" s="2">
        <f>$B$3*'IRR inputs &amp; outputs'!$B$11*'IRR inputs &amp; outputs'!$B$13</f>
        <v>3136.5180000000005</v>
      </c>
      <c r="F18" s="2">
        <f>$B$3*'IRR inputs &amp; outputs'!$B$11*'IRR inputs &amp; outputs'!$B$13</f>
        <v>3136.5180000000005</v>
      </c>
      <c r="G18" s="2">
        <f>$B$3*'IRR inputs &amp; outputs'!$B$11*'IRR inputs &amp; outputs'!$B$13</f>
        <v>3136.5180000000005</v>
      </c>
      <c r="H18" s="2">
        <f>$B$3*'IRR inputs &amp; outputs'!$B$11*'IRR inputs &amp; outputs'!$B$13</f>
        <v>3136.5180000000005</v>
      </c>
      <c r="I18" s="2">
        <f>$B$3*'IRR inputs &amp; outputs'!$B$11*'IRR inputs &amp; outputs'!$B$13</f>
        <v>3136.5180000000005</v>
      </c>
      <c r="J18" s="2">
        <f>$B$3*'IRR inputs &amp; outputs'!$B$11*'IRR inputs &amp; outputs'!$B$13</f>
        <v>3136.5180000000005</v>
      </c>
      <c r="K18" s="2">
        <f>$B$3*'IRR inputs &amp; outputs'!$B$11*'IRR inputs &amp; outputs'!$B$13</f>
        <v>3136.5180000000005</v>
      </c>
      <c r="L18" s="2">
        <f>$B$3*'IRR inputs &amp; outputs'!$B$11*'IRR inputs &amp; outputs'!$B$13</f>
        <v>3136.5180000000005</v>
      </c>
    </row>
    <row r="19" spans="1:12">
      <c r="A19" t="s">
        <v>58</v>
      </c>
      <c r="B19" s="3">
        <f t="shared" ref="B19:L19" si="1">SUM(B12:B18)</f>
        <v>51000</v>
      </c>
      <c r="C19" s="3">
        <f t="shared" si="1"/>
        <v>25494.265368421056</v>
      </c>
      <c r="D19" s="3">
        <f t="shared" si="1"/>
        <v>25494.265368421056</v>
      </c>
      <c r="E19" s="3">
        <f t="shared" si="1"/>
        <v>25494.265368421056</v>
      </c>
      <c r="F19" s="3">
        <f t="shared" si="1"/>
        <v>25494.265368421056</v>
      </c>
      <c r="G19" s="3">
        <f t="shared" si="1"/>
        <v>60494.26536842106</v>
      </c>
      <c r="H19" s="3">
        <f t="shared" si="1"/>
        <v>25494.265368421056</v>
      </c>
      <c r="I19" s="3">
        <f t="shared" si="1"/>
        <v>25494.265368421056</v>
      </c>
      <c r="J19" s="3">
        <f t="shared" si="1"/>
        <v>25494.265368421056</v>
      </c>
      <c r="K19" s="3">
        <f t="shared" si="1"/>
        <v>25494.265368421056</v>
      </c>
      <c r="L19" s="3">
        <f t="shared" si="1"/>
        <v>25494.265368421056</v>
      </c>
    </row>
    <row r="21" spans="1:12">
      <c r="A21" t="s">
        <v>59</v>
      </c>
      <c r="B21" s="3">
        <f t="shared" ref="B21:L21" si="2">B9-B19</f>
        <v>-51000</v>
      </c>
      <c r="C21" s="3">
        <f t="shared" si="2"/>
        <v>16325.974631578949</v>
      </c>
      <c r="D21" s="3">
        <f t="shared" si="2"/>
        <v>16325.974631578949</v>
      </c>
      <c r="E21" s="3">
        <f t="shared" si="2"/>
        <v>16325.974631578949</v>
      </c>
      <c r="F21" s="3">
        <f t="shared" si="2"/>
        <v>16325.974631578949</v>
      </c>
      <c r="G21" s="3">
        <f t="shared" si="2"/>
        <v>-18674.025368421055</v>
      </c>
      <c r="H21" s="3">
        <f t="shared" si="2"/>
        <v>16325.974631578949</v>
      </c>
      <c r="I21" s="3">
        <f t="shared" si="2"/>
        <v>16325.974631578949</v>
      </c>
      <c r="J21" s="3">
        <f t="shared" si="2"/>
        <v>16325.974631578949</v>
      </c>
      <c r="K21" s="3">
        <f t="shared" si="2"/>
        <v>16325.974631578949</v>
      </c>
      <c r="L21" s="3">
        <f t="shared" si="2"/>
        <v>16325.974631578949</v>
      </c>
    </row>
    <row r="23" spans="1:12">
      <c r="A23" t="s">
        <v>25</v>
      </c>
      <c r="B23" s="4">
        <f>IFERROR(IRR(B21:L21),NA())</f>
        <v>0.22064614659738813</v>
      </c>
    </row>
    <row r="25" spans="1:12">
      <c r="A25" s="1" t="s">
        <v>60</v>
      </c>
    </row>
    <row r="26" spans="1:12">
      <c r="A26" t="s">
        <v>41</v>
      </c>
      <c r="B26" s="4">
        <v>0.1</v>
      </c>
    </row>
    <row r="27" spans="1:12">
      <c r="A27" t="s">
        <v>61</v>
      </c>
      <c r="B27" s="3">
        <f>$B$12*(1-B26)</f>
        <v>45000</v>
      </c>
    </row>
    <row r="28" spans="1:12">
      <c r="A28" s="4" t="s">
        <v>62</v>
      </c>
      <c r="B28" s="3">
        <f>-B27</f>
        <v>-45000</v>
      </c>
      <c r="C28" s="3">
        <f>$C$21</f>
        <v>16325.974631578949</v>
      </c>
      <c r="D28" s="3">
        <f>$D$21</f>
        <v>16325.974631578949</v>
      </c>
      <c r="E28" s="3">
        <f>$E$21</f>
        <v>16325.974631578949</v>
      </c>
      <c r="F28" s="3">
        <f>$F$21</f>
        <v>16325.974631578949</v>
      </c>
      <c r="G28" s="3">
        <f>$G$21</f>
        <v>-18674.025368421055</v>
      </c>
      <c r="H28" s="3">
        <f>$H$21</f>
        <v>16325.974631578949</v>
      </c>
      <c r="I28" s="3">
        <f>$I$21</f>
        <v>16325.974631578949</v>
      </c>
      <c r="J28" s="3">
        <f>$J$21</f>
        <v>16325.974631578949</v>
      </c>
      <c r="K28" s="3">
        <f>$K$21</f>
        <v>16325.974631578949</v>
      </c>
      <c r="L28" s="3">
        <f>$L$21</f>
        <v>16325.974631578949</v>
      </c>
    </row>
    <row r="29" spans="1:12">
      <c r="A29" s="4" t="s">
        <v>25</v>
      </c>
      <c r="B29" s="4">
        <f>IFERROR(IRR(B28:L28),NA())</f>
        <v>0.26443542266310405</v>
      </c>
    </row>
    <row r="30" spans="1:12">
      <c r="A30" s="4"/>
      <c r="B30" s="3"/>
    </row>
    <row r="31" spans="1:12">
      <c r="A31" t="s">
        <v>41</v>
      </c>
      <c r="B31" s="4">
        <v>0.15</v>
      </c>
    </row>
    <row r="32" spans="1:12">
      <c r="A32" t="s">
        <v>61</v>
      </c>
      <c r="B32" s="3">
        <f>$B$12*(1-B31)</f>
        <v>42500</v>
      </c>
    </row>
    <row r="33" spans="1:12">
      <c r="A33" s="4" t="s">
        <v>62</v>
      </c>
      <c r="B33" s="3">
        <f>-B32</f>
        <v>-42500</v>
      </c>
      <c r="C33" s="3">
        <f>$C$21</f>
        <v>16325.974631578949</v>
      </c>
      <c r="D33" s="3">
        <f>$D$21</f>
        <v>16325.974631578949</v>
      </c>
      <c r="E33" s="3">
        <f>$E$21</f>
        <v>16325.974631578949</v>
      </c>
      <c r="F33" s="3">
        <f>$F$21</f>
        <v>16325.974631578949</v>
      </c>
      <c r="G33" s="3">
        <f>$G$21</f>
        <v>-18674.025368421055</v>
      </c>
      <c r="H33" s="3">
        <f>$H$21</f>
        <v>16325.974631578949</v>
      </c>
      <c r="I33" s="3">
        <f>$I$21</f>
        <v>16325.974631578949</v>
      </c>
      <c r="J33" s="3">
        <f>$J$21</f>
        <v>16325.974631578949</v>
      </c>
      <c r="K33" s="3">
        <f>$K$21</f>
        <v>16325.974631578949</v>
      </c>
      <c r="L33" s="3">
        <f>$L$21</f>
        <v>16325.974631578949</v>
      </c>
    </row>
    <row r="34" spans="1:12">
      <c r="A34" s="4" t="s">
        <v>25</v>
      </c>
      <c r="B34" s="4">
        <f>IFERROR(IRR(B33:L33),NA())</f>
        <v>0.28617120006013086</v>
      </c>
    </row>
    <row r="35" spans="1:12">
      <c r="A35" s="4"/>
      <c r="B35" s="3"/>
    </row>
    <row r="36" spans="1:12">
      <c r="A36" t="s">
        <v>41</v>
      </c>
      <c r="B36" s="4">
        <v>0.2</v>
      </c>
    </row>
    <row r="37" spans="1:12">
      <c r="A37" t="s">
        <v>61</v>
      </c>
      <c r="B37" s="3">
        <f>$B$12*(1-B36)</f>
        <v>40000</v>
      </c>
    </row>
    <row r="38" spans="1:12">
      <c r="A38" s="4" t="s">
        <v>62</v>
      </c>
      <c r="B38" s="3">
        <f>-B37</f>
        <v>-40000</v>
      </c>
      <c r="C38" s="3">
        <f>$C$21</f>
        <v>16325.974631578949</v>
      </c>
      <c r="D38" s="3">
        <f>$D$21</f>
        <v>16325.974631578949</v>
      </c>
      <c r="E38" s="3">
        <f>$E$21</f>
        <v>16325.974631578949</v>
      </c>
      <c r="F38" s="3">
        <f>$F$21</f>
        <v>16325.974631578949</v>
      </c>
      <c r="G38" s="3">
        <f>$G$21</f>
        <v>-18674.025368421055</v>
      </c>
      <c r="H38" s="3">
        <f>$H$21</f>
        <v>16325.974631578949</v>
      </c>
      <c r="I38" s="3">
        <f>$I$21</f>
        <v>16325.974631578949</v>
      </c>
      <c r="J38" s="3">
        <f>$J$21</f>
        <v>16325.974631578949</v>
      </c>
      <c r="K38" s="3">
        <f>$K$21</f>
        <v>16325.974631578949</v>
      </c>
      <c r="L38" s="3">
        <f>$L$21</f>
        <v>16325.974631578949</v>
      </c>
    </row>
    <row r="39" spans="1:12">
      <c r="A39" s="4" t="s">
        <v>25</v>
      </c>
      <c r="B39" s="4">
        <f>IFERROR(IRR(B38:L38),NA())</f>
        <v>0.31055711835746069</v>
      </c>
    </row>
    <row r="41" spans="1:12">
      <c r="A41" t="s">
        <v>41</v>
      </c>
      <c r="B41" s="4">
        <v>0.25</v>
      </c>
    </row>
    <row r="42" spans="1:12">
      <c r="A42" t="s">
        <v>61</v>
      </c>
      <c r="B42" s="3">
        <f>$B$12*(1-B41)</f>
        <v>37500</v>
      </c>
    </row>
    <row r="43" spans="1:12">
      <c r="A43" s="4" t="s">
        <v>62</v>
      </c>
      <c r="B43" s="3">
        <f>-B42</f>
        <v>-37500</v>
      </c>
      <c r="C43" s="3">
        <f>$C$21</f>
        <v>16325.974631578949</v>
      </c>
      <c r="D43" s="3">
        <f>$D$21</f>
        <v>16325.974631578949</v>
      </c>
      <c r="E43" s="3">
        <f>$E$21</f>
        <v>16325.974631578949</v>
      </c>
      <c r="F43" s="3">
        <f>$F$21</f>
        <v>16325.974631578949</v>
      </c>
      <c r="G43" s="3">
        <f>$G$21</f>
        <v>-18674.025368421055</v>
      </c>
      <c r="H43" s="3">
        <f>$H$21</f>
        <v>16325.974631578949</v>
      </c>
      <c r="I43" s="3">
        <f>$I$21</f>
        <v>16325.974631578949</v>
      </c>
      <c r="J43" s="3">
        <f>$J$21</f>
        <v>16325.974631578949</v>
      </c>
      <c r="K43" s="3">
        <f>$K$21</f>
        <v>16325.974631578949</v>
      </c>
      <c r="L43" s="3">
        <f>$L$21</f>
        <v>16325.974631578949</v>
      </c>
    </row>
    <row r="44" spans="1:12">
      <c r="A44" s="4" t="s">
        <v>25</v>
      </c>
      <c r="B44" s="4">
        <f>IFERROR(IRR(B43:L43),NA())</f>
        <v>0.33815566232892857</v>
      </c>
    </row>
    <row r="46" spans="1:12">
      <c r="A46" t="s">
        <v>41</v>
      </c>
      <c r="B46" s="4">
        <v>0.3</v>
      </c>
    </row>
    <row r="47" spans="1:12">
      <c r="A47" t="s">
        <v>61</v>
      </c>
      <c r="B47" s="3">
        <f>$B$12*(1-B46)</f>
        <v>35000</v>
      </c>
    </row>
    <row r="48" spans="1:12">
      <c r="A48" s="4" t="s">
        <v>62</v>
      </c>
      <c r="B48" s="3">
        <f>-B47</f>
        <v>-35000</v>
      </c>
      <c r="C48" s="3">
        <f>$C$21</f>
        <v>16325.974631578949</v>
      </c>
      <c r="D48" s="3">
        <f>$D$21</f>
        <v>16325.974631578949</v>
      </c>
      <c r="E48" s="3">
        <f>$E$21</f>
        <v>16325.974631578949</v>
      </c>
      <c r="F48" s="3">
        <f>$F$21</f>
        <v>16325.974631578949</v>
      </c>
      <c r="G48" s="3">
        <f>$G$21</f>
        <v>-18674.025368421055</v>
      </c>
      <c r="H48" s="3">
        <f>$H$21</f>
        <v>16325.974631578949</v>
      </c>
      <c r="I48" s="3">
        <f>$I$21</f>
        <v>16325.974631578949</v>
      </c>
      <c r="J48" s="3">
        <f>$J$21</f>
        <v>16325.974631578949</v>
      </c>
      <c r="K48" s="3">
        <f>$K$21</f>
        <v>16325.974631578949</v>
      </c>
      <c r="L48" s="3">
        <f>$L$21</f>
        <v>16325.974631578949</v>
      </c>
    </row>
    <row r="49" spans="1:12">
      <c r="A49" s="4" t="s">
        <v>25</v>
      </c>
      <c r="B49" s="4">
        <f>IFERROR(IRR(B48:L48),NA())</f>
        <v>0.36969861807721616</v>
      </c>
    </row>
    <row r="51" spans="1:12">
      <c r="A51" t="s">
        <v>41</v>
      </c>
      <c r="B51" s="4">
        <v>0.35</v>
      </c>
    </row>
    <row r="52" spans="1:12">
      <c r="A52" t="s">
        <v>61</v>
      </c>
      <c r="B52" s="3">
        <f>$B$12*(1-B51)</f>
        <v>32500</v>
      </c>
    </row>
    <row r="53" spans="1:12">
      <c r="A53" s="4" t="s">
        <v>62</v>
      </c>
      <c r="B53" s="3">
        <f>-B52</f>
        <v>-32500</v>
      </c>
      <c r="C53" s="3">
        <f>$C$21</f>
        <v>16325.974631578949</v>
      </c>
      <c r="D53" s="3">
        <f>$D$21</f>
        <v>16325.974631578949</v>
      </c>
      <c r="E53" s="3">
        <f>$E$21</f>
        <v>16325.974631578949</v>
      </c>
      <c r="F53" s="3">
        <f>$F$21</f>
        <v>16325.974631578949</v>
      </c>
      <c r="G53" s="3">
        <f>$G$21</f>
        <v>-18674.025368421055</v>
      </c>
      <c r="H53" s="3">
        <f>$H$21</f>
        <v>16325.974631578949</v>
      </c>
      <c r="I53" s="3">
        <f>$I$21</f>
        <v>16325.974631578949</v>
      </c>
      <c r="J53" s="3">
        <f>$J$21</f>
        <v>16325.974631578949</v>
      </c>
      <c r="K53" s="3">
        <f>$K$21</f>
        <v>16325.974631578949</v>
      </c>
      <c r="L53" s="3">
        <f>$L$21</f>
        <v>16325.974631578949</v>
      </c>
    </row>
    <row r="54" spans="1:12">
      <c r="A54" s="4" t="s">
        <v>25</v>
      </c>
      <c r="B54" s="4">
        <f>IFERROR(IRR(B53:L53),NA())</f>
        <v>0.40615316761433373</v>
      </c>
    </row>
    <row r="56" spans="1:12">
      <c r="A56" t="s">
        <v>41</v>
      </c>
      <c r="B56" s="4">
        <v>0.4</v>
      </c>
    </row>
    <row r="57" spans="1:12">
      <c r="A57" t="s">
        <v>61</v>
      </c>
      <c r="B57" s="3">
        <f>$B$12*(1-B56)</f>
        <v>30000</v>
      </c>
    </row>
    <row r="58" spans="1:12">
      <c r="A58" s="4" t="s">
        <v>62</v>
      </c>
      <c r="B58" s="3">
        <f>-B57</f>
        <v>-30000</v>
      </c>
      <c r="C58" s="3">
        <f>$C$21</f>
        <v>16325.974631578949</v>
      </c>
      <c r="D58" s="3">
        <f>$D$21</f>
        <v>16325.974631578949</v>
      </c>
      <c r="E58" s="3">
        <f>$E$21</f>
        <v>16325.974631578949</v>
      </c>
      <c r="F58" s="3">
        <f>$F$21</f>
        <v>16325.974631578949</v>
      </c>
      <c r="G58" s="3">
        <f>$G$21</f>
        <v>-18674.025368421055</v>
      </c>
      <c r="H58" s="3">
        <f>$H$21</f>
        <v>16325.974631578949</v>
      </c>
      <c r="I58" s="3">
        <f>$I$21</f>
        <v>16325.974631578949</v>
      </c>
      <c r="J58" s="3">
        <f>$J$21</f>
        <v>16325.974631578949</v>
      </c>
      <c r="K58" s="3">
        <f>$K$21</f>
        <v>16325.974631578949</v>
      </c>
      <c r="L58" s="3">
        <f>$L$21</f>
        <v>16325.974631578949</v>
      </c>
    </row>
    <row r="59" spans="1:12">
      <c r="A59" s="4" t="s">
        <v>25</v>
      </c>
      <c r="B59" s="4">
        <f>IFERROR(IRR(B58:L58),NA())</f>
        <v>0.44881997083932745</v>
      </c>
    </row>
    <row r="61" spans="1:12">
      <c r="A61" t="s">
        <v>41</v>
      </c>
      <c r="B61" s="4">
        <v>0.45</v>
      </c>
    </row>
    <row r="62" spans="1:12">
      <c r="A62" t="s">
        <v>61</v>
      </c>
      <c r="B62" s="3">
        <f>$B$12*(1-B61)</f>
        <v>27500.000000000004</v>
      </c>
    </row>
    <row r="63" spans="1:12">
      <c r="A63" s="4" t="s">
        <v>62</v>
      </c>
      <c r="B63" s="3">
        <f>-B62</f>
        <v>-27500.000000000004</v>
      </c>
      <c r="C63" s="3">
        <f>$C$21</f>
        <v>16325.974631578949</v>
      </c>
      <c r="D63" s="3">
        <f>$D$21</f>
        <v>16325.974631578949</v>
      </c>
      <c r="E63" s="3">
        <f>$E$21</f>
        <v>16325.974631578949</v>
      </c>
      <c r="F63" s="3">
        <f>$F$21</f>
        <v>16325.974631578949</v>
      </c>
      <c r="G63" s="3">
        <f>$G$21</f>
        <v>-18674.025368421055</v>
      </c>
      <c r="H63" s="3">
        <f>$H$21</f>
        <v>16325.974631578949</v>
      </c>
      <c r="I63" s="3">
        <f>$I$21</f>
        <v>16325.974631578949</v>
      </c>
      <c r="J63" s="3">
        <f>$J$21</f>
        <v>16325.974631578949</v>
      </c>
      <c r="K63" s="3">
        <f>$K$21</f>
        <v>16325.974631578949</v>
      </c>
      <c r="L63" s="3">
        <f>$L$21</f>
        <v>16325.974631578949</v>
      </c>
    </row>
    <row r="64" spans="1:12">
      <c r="A64" s="4" t="s">
        <v>25</v>
      </c>
      <c r="B64" s="4">
        <f>IFERROR(IRR(B63:L63),NA())</f>
        <v>0.49948219030370922</v>
      </c>
    </row>
    <row r="66" spans="1:12">
      <c r="A66" t="s">
        <v>41</v>
      </c>
      <c r="B66" s="4">
        <v>0.5</v>
      </c>
    </row>
    <row r="67" spans="1:12">
      <c r="A67" t="s">
        <v>61</v>
      </c>
      <c r="B67" s="3">
        <f>$B$12*(1-B66)</f>
        <v>25000</v>
      </c>
    </row>
    <row r="68" spans="1:12">
      <c r="A68" s="4" t="s">
        <v>62</v>
      </c>
      <c r="B68" s="3">
        <f>-B67</f>
        <v>-25000</v>
      </c>
      <c r="C68" s="3">
        <f>$C$21</f>
        <v>16325.974631578949</v>
      </c>
      <c r="D68" s="3">
        <f>$D$21</f>
        <v>16325.974631578949</v>
      </c>
      <c r="E68" s="3">
        <f>$E$21</f>
        <v>16325.974631578949</v>
      </c>
      <c r="F68" s="3">
        <f>$F$21</f>
        <v>16325.974631578949</v>
      </c>
      <c r="G68" s="3">
        <f>$G$21</f>
        <v>-18674.025368421055</v>
      </c>
      <c r="H68" s="3">
        <f>$H$21</f>
        <v>16325.974631578949</v>
      </c>
      <c r="I68" s="3">
        <f>$I$21</f>
        <v>16325.974631578949</v>
      </c>
      <c r="J68" s="3">
        <f>$J$21</f>
        <v>16325.974631578949</v>
      </c>
      <c r="K68" s="3">
        <f>$K$21</f>
        <v>16325.974631578949</v>
      </c>
      <c r="L68" s="3">
        <f>$L$21</f>
        <v>16325.974631578949</v>
      </c>
    </row>
    <row r="69" spans="1:12">
      <c r="A69" s="4" t="s">
        <v>25</v>
      </c>
      <c r="B69" s="4">
        <f>IFERROR(IRR(B68:L68),NA())</f>
        <v>0.5606385080419598</v>
      </c>
    </row>
    <row r="71" spans="1:12">
      <c r="A71" t="s">
        <v>41</v>
      </c>
      <c r="B71" s="4">
        <v>0.55000000000000004</v>
      </c>
    </row>
    <row r="72" spans="1:12">
      <c r="A72" t="s">
        <v>61</v>
      </c>
      <c r="B72" s="3">
        <f>$B$12*(1-B71)</f>
        <v>22499.999999999996</v>
      </c>
    </row>
    <row r="73" spans="1:12">
      <c r="A73" s="4" t="s">
        <v>62</v>
      </c>
      <c r="B73" s="3">
        <f>-B72</f>
        <v>-22499.999999999996</v>
      </c>
      <c r="C73" s="3">
        <f>$C$21</f>
        <v>16325.974631578949</v>
      </c>
      <c r="D73" s="3">
        <f>$D$21</f>
        <v>16325.974631578949</v>
      </c>
      <c r="E73" s="3">
        <f>$E$21</f>
        <v>16325.974631578949</v>
      </c>
      <c r="F73" s="3">
        <f>$F$21</f>
        <v>16325.974631578949</v>
      </c>
      <c r="G73" s="3">
        <f>$G$21</f>
        <v>-18674.025368421055</v>
      </c>
      <c r="H73" s="3">
        <f>$H$21</f>
        <v>16325.974631578949</v>
      </c>
      <c r="I73" s="3">
        <f>$I$21</f>
        <v>16325.974631578949</v>
      </c>
      <c r="J73" s="3">
        <f>$J$21</f>
        <v>16325.974631578949</v>
      </c>
      <c r="K73" s="3">
        <f>$K$21</f>
        <v>16325.974631578949</v>
      </c>
      <c r="L73" s="3">
        <f>$L$21</f>
        <v>16325.974631578949</v>
      </c>
    </row>
    <row r="74" spans="1:12">
      <c r="A74" s="4" t="s">
        <v>25</v>
      </c>
      <c r="B74" s="4">
        <f>IFERROR(IRR(B73:L73),NA())</f>
        <v>0.63588107147360851</v>
      </c>
    </row>
    <row r="76" spans="1:12">
      <c r="A76" t="s">
        <v>41</v>
      </c>
      <c r="B76" s="4">
        <v>0.6</v>
      </c>
    </row>
    <row r="77" spans="1:12">
      <c r="A77" t="s">
        <v>61</v>
      </c>
      <c r="B77" s="3">
        <f>$B$12*(1-B76)</f>
        <v>20000</v>
      </c>
    </row>
    <row r="78" spans="1:12">
      <c r="A78" s="4" t="s">
        <v>62</v>
      </c>
      <c r="B78" s="3">
        <f>-B77</f>
        <v>-20000</v>
      </c>
      <c r="C78" s="3">
        <f>$C$21</f>
        <v>16325.974631578949</v>
      </c>
      <c r="D78" s="3">
        <f>$D$21</f>
        <v>16325.974631578949</v>
      </c>
      <c r="E78" s="3">
        <f>$E$21</f>
        <v>16325.974631578949</v>
      </c>
      <c r="F78" s="3">
        <f>$F$21</f>
        <v>16325.974631578949</v>
      </c>
      <c r="G78" s="3">
        <f>$G$21</f>
        <v>-18674.025368421055</v>
      </c>
      <c r="H78" s="3">
        <f>$H$21</f>
        <v>16325.974631578949</v>
      </c>
      <c r="I78" s="3">
        <f>$I$21</f>
        <v>16325.974631578949</v>
      </c>
      <c r="J78" s="3">
        <f>$J$21</f>
        <v>16325.974631578949</v>
      </c>
      <c r="K78" s="3">
        <f>$K$21</f>
        <v>16325.974631578949</v>
      </c>
      <c r="L78" s="3">
        <f>$L$21</f>
        <v>16325.974631578949</v>
      </c>
    </row>
    <row r="79" spans="1:12">
      <c r="A79" s="4" t="s">
        <v>25</v>
      </c>
      <c r="B79" s="4">
        <f>IFERROR(IRR(B78:L78),NA())</f>
        <v>0.73053898231972614</v>
      </c>
    </row>
    <row r="81" spans="1:12">
      <c r="A81" t="s">
        <v>41</v>
      </c>
      <c r="B81" s="4">
        <v>0.65</v>
      </c>
    </row>
    <row r="82" spans="1:12">
      <c r="A82" t="s">
        <v>61</v>
      </c>
      <c r="B82" s="3">
        <f>$B$12*(1-B81)</f>
        <v>17500</v>
      </c>
    </row>
    <row r="83" spans="1:12">
      <c r="A83" s="4" t="s">
        <v>62</v>
      </c>
      <c r="B83" s="3">
        <f>-B82</f>
        <v>-17500</v>
      </c>
      <c r="C83" s="3">
        <f>$C$21</f>
        <v>16325.974631578949</v>
      </c>
      <c r="D83" s="3">
        <f>$D$21</f>
        <v>16325.974631578949</v>
      </c>
      <c r="E83" s="3">
        <f>$E$21</f>
        <v>16325.974631578949</v>
      </c>
      <c r="F83" s="3">
        <f>$F$21</f>
        <v>16325.974631578949</v>
      </c>
      <c r="G83" s="3">
        <f>$G$21</f>
        <v>-18674.025368421055</v>
      </c>
      <c r="H83" s="3">
        <f>$H$21</f>
        <v>16325.974631578949</v>
      </c>
      <c r="I83" s="3">
        <f>$I$21</f>
        <v>16325.974631578949</v>
      </c>
      <c r="J83" s="3">
        <f>$J$21</f>
        <v>16325.974631578949</v>
      </c>
      <c r="K83" s="3">
        <f>$K$21</f>
        <v>16325.974631578949</v>
      </c>
      <c r="L83" s="3">
        <f>$L$21</f>
        <v>16325.974631578949</v>
      </c>
    </row>
    <row r="84" spans="1:12">
      <c r="A84" s="4" t="s">
        <v>25</v>
      </c>
      <c r="B84" s="4">
        <f>IFERROR(IRR(B83:L83),NA())</f>
        <v>0.85284709895574395</v>
      </c>
    </row>
    <row r="86" spans="1:12">
      <c r="A86" t="s">
        <v>41</v>
      </c>
      <c r="B86" s="4">
        <v>0.7</v>
      </c>
    </row>
    <row r="87" spans="1:12">
      <c r="A87" t="s">
        <v>61</v>
      </c>
      <c r="B87" s="3">
        <f>$B$12*(1-B86)</f>
        <v>15000.000000000002</v>
      </c>
    </row>
    <row r="88" spans="1:12">
      <c r="A88" s="4" t="s">
        <v>62</v>
      </c>
      <c r="B88" s="3">
        <f>-B87</f>
        <v>-15000.000000000002</v>
      </c>
      <c r="C88" s="3">
        <f>$C$21</f>
        <v>16325.974631578949</v>
      </c>
      <c r="D88" s="3">
        <f>$D$21</f>
        <v>16325.974631578949</v>
      </c>
      <c r="E88" s="3">
        <f>$E$21</f>
        <v>16325.974631578949</v>
      </c>
      <c r="F88" s="3">
        <f>$F$21</f>
        <v>16325.974631578949</v>
      </c>
      <c r="G88" s="3">
        <f>$G$21</f>
        <v>-18674.025368421055</v>
      </c>
      <c r="H88" s="3">
        <f>$H$21</f>
        <v>16325.974631578949</v>
      </c>
      <c r="I88" s="3">
        <f>$I$21</f>
        <v>16325.974631578949</v>
      </c>
      <c r="J88" s="3">
        <f>$J$21</f>
        <v>16325.974631578949</v>
      </c>
      <c r="K88" s="3">
        <f>$K$21</f>
        <v>16325.974631578949</v>
      </c>
      <c r="L88" s="3">
        <f>$L$21</f>
        <v>16325.974631578949</v>
      </c>
    </row>
    <row r="89" spans="1:12">
      <c r="A89" s="4" t="s">
        <v>25</v>
      </c>
      <c r="B89" s="4">
        <f>IFERROR(IRR(B88:L88),NA())</f>
        <v>1.016255454004551</v>
      </c>
    </row>
    <row r="91" spans="1:12">
      <c r="A91" t="s">
        <v>41</v>
      </c>
      <c r="B91" s="4">
        <v>0.75</v>
      </c>
    </row>
    <row r="92" spans="1:12">
      <c r="A92" t="s">
        <v>61</v>
      </c>
      <c r="B92" s="3">
        <f>$B$12*(1-B91)</f>
        <v>12500</v>
      </c>
    </row>
    <row r="93" spans="1:12">
      <c r="A93" s="4" t="s">
        <v>62</v>
      </c>
      <c r="B93" s="3">
        <f>-B92</f>
        <v>-12500</v>
      </c>
      <c r="C93" s="3">
        <f>$C$21</f>
        <v>16325.974631578949</v>
      </c>
      <c r="D93" s="3">
        <f>$D$21</f>
        <v>16325.974631578949</v>
      </c>
      <c r="E93" s="3">
        <f>$E$21</f>
        <v>16325.974631578949</v>
      </c>
      <c r="F93" s="3">
        <f>$F$21</f>
        <v>16325.974631578949</v>
      </c>
      <c r="G93" s="3">
        <f>$G$21</f>
        <v>-18674.025368421055</v>
      </c>
      <c r="H93" s="3">
        <f>$H$21</f>
        <v>16325.974631578949</v>
      </c>
      <c r="I93" s="3">
        <f>$I$21</f>
        <v>16325.974631578949</v>
      </c>
      <c r="J93" s="3">
        <f>$J$21</f>
        <v>16325.974631578949</v>
      </c>
      <c r="K93" s="3">
        <f>$K$21</f>
        <v>16325.974631578949</v>
      </c>
      <c r="L93" s="3">
        <f>$L$21</f>
        <v>16325.974631578949</v>
      </c>
    </row>
    <row r="94" spans="1:12">
      <c r="A94" s="4" t="s">
        <v>25</v>
      </c>
      <c r="B94" s="4">
        <f>IFERROR(IRR(B93:L93),NA())</f>
        <v>1.2445034612618104</v>
      </c>
    </row>
    <row r="96" spans="1:12">
      <c r="A96" t="s">
        <v>41</v>
      </c>
      <c r="B96" s="4">
        <v>0.8</v>
      </c>
    </row>
    <row r="97" spans="1:12">
      <c r="A97" t="s">
        <v>61</v>
      </c>
      <c r="B97" s="3">
        <f>$B$12*(1-B96)</f>
        <v>9999.9999999999982</v>
      </c>
    </row>
    <row r="98" spans="1:12">
      <c r="A98" s="4" t="s">
        <v>62</v>
      </c>
      <c r="B98" s="3">
        <f>-B97</f>
        <v>-9999.9999999999982</v>
      </c>
      <c r="C98" s="3">
        <f>$C$21</f>
        <v>16325.974631578949</v>
      </c>
      <c r="D98" s="3">
        <f>$D$21</f>
        <v>16325.974631578949</v>
      </c>
      <c r="E98" s="3">
        <f>$E$21</f>
        <v>16325.974631578949</v>
      </c>
      <c r="F98" s="3">
        <f>$F$21</f>
        <v>16325.974631578949</v>
      </c>
      <c r="G98" s="3">
        <f>$G$21</f>
        <v>-18674.025368421055</v>
      </c>
      <c r="H98" s="3">
        <f>$H$21</f>
        <v>16325.974631578949</v>
      </c>
      <c r="I98" s="3">
        <f>$I$21</f>
        <v>16325.974631578949</v>
      </c>
      <c r="J98" s="3">
        <f>$J$21</f>
        <v>16325.974631578949</v>
      </c>
      <c r="K98" s="3">
        <f>$K$21</f>
        <v>16325.974631578949</v>
      </c>
      <c r="L98" s="3">
        <f>$L$21</f>
        <v>16325.974631578949</v>
      </c>
    </row>
    <row r="99" spans="1:12">
      <c r="A99" s="4" t="s">
        <v>25</v>
      </c>
      <c r="B99" s="4">
        <f>IFERROR(IRR(B98:L98),NA())</f>
        <v>1.5843742132864489</v>
      </c>
    </row>
    <row r="101" spans="1:12">
      <c r="A101" t="s">
        <v>41</v>
      </c>
      <c r="B101" s="4">
        <v>0.85</v>
      </c>
    </row>
    <row r="102" spans="1:12">
      <c r="A102" t="s">
        <v>61</v>
      </c>
      <c r="B102" s="3">
        <f>$B$12*(1-B101)</f>
        <v>7500.0000000000009</v>
      </c>
    </row>
    <row r="103" spans="1:12">
      <c r="A103" s="4" t="s">
        <v>62</v>
      </c>
      <c r="B103" s="3">
        <f>-B102</f>
        <v>-7500.0000000000009</v>
      </c>
      <c r="C103" s="3">
        <f>$C$21</f>
        <v>16325.974631578949</v>
      </c>
      <c r="D103" s="3">
        <f>$D$21</f>
        <v>16325.974631578949</v>
      </c>
      <c r="E103" s="3">
        <f>$E$21</f>
        <v>16325.974631578949</v>
      </c>
      <c r="F103" s="3">
        <f>$F$21</f>
        <v>16325.974631578949</v>
      </c>
      <c r="G103" s="3">
        <f>$G$21</f>
        <v>-18674.025368421055</v>
      </c>
      <c r="H103" s="3">
        <f>$H$21</f>
        <v>16325.974631578949</v>
      </c>
      <c r="I103" s="3">
        <f>$I$21</f>
        <v>16325.974631578949</v>
      </c>
      <c r="J103" s="3">
        <f>$J$21</f>
        <v>16325.974631578949</v>
      </c>
      <c r="K103" s="3">
        <f>$K$21</f>
        <v>16325.974631578949</v>
      </c>
      <c r="L103" s="3">
        <f>$L$21</f>
        <v>16325.974631578949</v>
      </c>
    </row>
    <row r="104" spans="1:12">
      <c r="A104" s="4" t="s">
        <v>25</v>
      </c>
      <c r="B104" s="4">
        <f>IFERROR(IRR(B103:L103),NA())</f>
        <v>2.1442112127362822</v>
      </c>
    </row>
    <row r="106" spans="1:12">
      <c r="A106" t="s">
        <v>41</v>
      </c>
      <c r="B106" s="4">
        <v>0.9</v>
      </c>
    </row>
    <row r="107" spans="1:12">
      <c r="A107" t="s">
        <v>61</v>
      </c>
      <c r="B107" s="3">
        <f>$B$12*(1-B106)</f>
        <v>4999.9999999999991</v>
      </c>
    </row>
    <row r="108" spans="1:12">
      <c r="A108" s="4" t="s">
        <v>62</v>
      </c>
      <c r="B108" s="3">
        <f>-B107</f>
        <v>-4999.9999999999991</v>
      </c>
      <c r="C108" s="3">
        <f>$C$21</f>
        <v>16325.974631578949</v>
      </c>
      <c r="D108" s="3">
        <f>$D$21</f>
        <v>16325.974631578949</v>
      </c>
      <c r="E108" s="3">
        <f>$E$21</f>
        <v>16325.974631578949</v>
      </c>
      <c r="F108" s="3">
        <f>$F$21</f>
        <v>16325.974631578949</v>
      </c>
      <c r="G108" s="3">
        <f>$G$21</f>
        <v>-18674.025368421055</v>
      </c>
      <c r="H108" s="3">
        <f>$H$21</f>
        <v>16325.974631578949</v>
      </c>
      <c r="I108" s="3">
        <f>$I$21</f>
        <v>16325.974631578949</v>
      </c>
      <c r="J108" s="3">
        <f>$J$21</f>
        <v>16325.974631578949</v>
      </c>
      <c r="K108" s="3">
        <f>$K$21</f>
        <v>16325.974631578949</v>
      </c>
      <c r="L108" s="3">
        <f>$L$21</f>
        <v>16325.974631578949</v>
      </c>
    </row>
    <row r="109" spans="1:12">
      <c r="A109" s="4" t="s">
        <v>25</v>
      </c>
      <c r="B109" s="4">
        <f>IFERROR(IRR(B108:L108),NA())</f>
        <v>3.248768369234126</v>
      </c>
    </row>
    <row r="111" spans="1:12">
      <c r="A111" t="s">
        <v>41</v>
      </c>
      <c r="B111" s="4">
        <v>0.95</v>
      </c>
    </row>
    <row r="112" spans="1:12">
      <c r="A112" t="s">
        <v>61</v>
      </c>
      <c r="B112" s="3">
        <f>$B$12*(1-B111)</f>
        <v>2500.0000000000023</v>
      </c>
    </row>
    <row r="113" spans="1:20">
      <c r="A113" s="4" t="s">
        <v>62</v>
      </c>
      <c r="B113" s="3">
        <f>-B112</f>
        <v>-2500.0000000000023</v>
      </c>
      <c r="C113" s="3">
        <f>$C$21</f>
        <v>16325.974631578949</v>
      </c>
      <c r="D113" s="3">
        <f>$D$21</f>
        <v>16325.974631578949</v>
      </c>
      <c r="E113" s="3">
        <f>$E$21</f>
        <v>16325.974631578949</v>
      </c>
      <c r="F113" s="3">
        <f>$F$21</f>
        <v>16325.974631578949</v>
      </c>
      <c r="G113" s="3">
        <f>$G$21</f>
        <v>-18674.025368421055</v>
      </c>
      <c r="H113" s="3">
        <f>$H$21</f>
        <v>16325.974631578949</v>
      </c>
      <c r="I113" s="3">
        <f>$I$21</f>
        <v>16325.974631578949</v>
      </c>
      <c r="J113" s="3">
        <f>$J$21</f>
        <v>16325.974631578949</v>
      </c>
      <c r="K113" s="3">
        <f>$K$21</f>
        <v>16325.974631578949</v>
      </c>
      <c r="L113" s="3">
        <f>$L$21</f>
        <v>16325.974631578949</v>
      </c>
    </row>
    <row r="114" spans="1:20">
      <c r="A114" s="4" t="s">
        <v>25</v>
      </c>
      <c r="B114" s="4">
        <f>IFERROR(IRR(B113:L113),NA())</f>
        <v>6.5266069898757682</v>
      </c>
    </row>
    <row r="116" spans="1:20">
      <c r="A116" t="s">
        <v>41</v>
      </c>
      <c r="B116" s="4">
        <v>1</v>
      </c>
    </row>
    <row r="117" spans="1:20">
      <c r="A117" t="s">
        <v>61</v>
      </c>
      <c r="B117" s="3">
        <f>$B$12*(1-B116)</f>
        <v>0</v>
      </c>
    </row>
    <row r="118" spans="1:20">
      <c r="A118" s="4" t="s">
        <v>62</v>
      </c>
      <c r="B118" s="3">
        <f>-B117</f>
        <v>0</v>
      </c>
      <c r="C118" s="3">
        <f>$C$21</f>
        <v>16325.974631578949</v>
      </c>
      <c r="D118" s="3">
        <f>$D$21</f>
        <v>16325.974631578949</v>
      </c>
      <c r="E118" s="3">
        <f>$E$21</f>
        <v>16325.974631578949</v>
      </c>
      <c r="F118" s="3">
        <f>$F$21</f>
        <v>16325.974631578949</v>
      </c>
      <c r="G118" s="3">
        <f>$G$21</f>
        <v>-18674.025368421055</v>
      </c>
      <c r="H118" s="3">
        <f>$H$21</f>
        <v>16325.974631578949</v>
      </c>
      <c r="I118" s="3">
        <f>$I$21</f>
        <v>16325.974631578949</v>
      </c>
      <c r="J118" s="3">
        <f>$J$21</f>
        <v>16325.974631578949</v>
      </c>
      <c r="K118" s="3">
        <f>$K$21</f>
        <v>16325.974631578949</v>
      </c>
      <c r="L118" s="3">
        <f>$L$21</f>
        <v>16325.974631578949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63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>
        <f>B29</f>
        <v>0.26443542266310405</v>
      </c>
      <c r="C124" s="4">
        <f>B34</f>
        <v>0.28617120006013086</v>
      </c>
      <c r="D124" s="4">
        <f>B39</f>
        <v>0.31055711835746069</v>
      </c>
      <c r="E124" s="4">
        <f>B44</f>
        <v>0.33815566232892857</v>
      </c>
      <c r="F124" s="4">
        <f>B49</f>
        <v>0.36969861807721616</v>
      </c>
      <c r="G124" s="4">
        <f>B54</f>
        <v>0.40615316761433373</v>
      </c>
      <c r="H124" s="4">
        <f>B59</f>
        <v>0.44881997083932745</v>
      </c>
      <c r="I124" s="4">
        <f>B64</f>
        <v>0.49948219030370922</v>
      </c>
      <c r="J124" s="4">
        <f>B69</f>
        <v>0.5606385080419598</v>
      </c>
      <c r="K124" s="4">
        <f>B74</f>
        <v>0.63588107147360851</v>
      </c>
      <c r="L124" s="4">
        <f>B79</f>
        <v>0.73053898231972614</v>
      </c>
      <c r="M124" s="4">
        <f>B84</f>
        <v>0.85284709895574395</v>
      </c>
      <c r="N124" s="4">
        <f>B89</f>
        <v>1.016255454004551</v>
      </c>
      <c r="O124" s="4">
        <f>B94</f>
        <v>1.2445034612618104</v>
      </c>
      <c r="P124" s="4">
        <f>B99</f>
        <v>1.5843742132864489</v>
      </c>
      <c r="Q124" s="4">
        <f>B104</f>
        <v>2.1442112127362822</v>
      </c>
      <c r="R124" s="4">
        <f>B109</f>
        <v>3.248768369234126</v>
      </c>
      <c r="S124" s="4">
        <f>B114</f>
        <v>6.5266069898757682</v>
      </c>
      <c r="T124" s="4" t="e">
        <f>B119</f>
        <v>#N/A</v>
      </c>
    </row>
    <row r="125" spans="1:20">
      <c r="A125" t="s">
        <v>64</v>
      </c>
      <c r="B125" s="4" t="e">
        <f>LOOKUP('IRR inputs &amp; outputs'!B18, B124:P124, B123:P123)</f>
        <v>#N/A</v>
      </c>
    </row>
    <row r="126" spans="1:20">
      <c r="A126" t="s">
        <v>65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F54EE-2839-493A-9F96-E3544936A987}">
  <dimension ref="A1:T126"/>
  <sheetViews>
    <sheetView workbookViewId="0">
      <selection activeCell="L9" sqref="L9"/>
    </sheetView>
  </sheetViews>
  <sheetFormatPr defaultRowHeight="14.25"/>
  <cols>
    <col min="1" max="1" width="14.7109375" bestFit="1" customWidth="1"/>
    <col min="2" max="2" width="13.85546875" customWidth="1"/>
  </cols>
  <sheetData>
    <row r="1" spans="1:15">
      <c r="A1" s="1" t="s">
        <v>24</v>
      </c>
      <c r="B1" s="5">
        <v>0.2</v>
      </c>
    </row>
    <row r="2" spans="1:15">
      <c r="A2" t="s">
        <v>44</v>
      </c>
      <c r="B2">
        <f>24*365</f>
        <v>8760</v>
      </c>
    </row>
    <row r="3" spans="1:15">
      <c r="A3" t="s">
        <v>45</v>
      </c>
      <c r="B3">
        <f>B2*B1*'IRR inputs &amp; outputs'!B2*'IRR inputs &amp; outputs'!B3*'IRR inputs &amp; outputs'!$B$7</f>
        <v>86899.199999999997</v>
      </c>
      <c r="C3" t="s">
        <v>46</v>
      </c>
    </row>
    <row r="5" spans="1:15">
      <c r="A5" s="1" t="s">
        <v>47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48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49</v>
      </c>
      <c r="B7" s="2"/>
      <c r="C7" s="2">
        <f>$B$3*'IRR inputs &amp; outputs'!$B$13</f>
        <v>47794.560000000005</v>
      </c>
      <c r="D7" s="2">
        <f>$B$3*'IRR inputs &amp; outputs'!$B$13</f>
        <v>47794.560000000005</v>
      </c>
      <c r="E7" s="2">
        <f>$B$3*'IRR inputs &amp; outputs'!$B$13</f>
        <v>47794.560000000005</v>
      </c>
      <c r="F7" s="2">
        <f>$B$3*'IRR inputs &amp; outputs'!$B$13</f>
        <v>47794.560000000005</v>
      </c>
      <c r="G7" s="2">
        <f>$B$3*'IRR inputs &amp; outputs'!$B$13</f>
        <v>47794.560000000005</v>
      </c>
      <c r="H7" s="2">
        <f>$B$3*'IRR inputs &amp; outputs'!$B$13</f>
        <v>47794.560000000005</v>
      </c>
      <c r="I7" s="2">
        <f>$B$3*'IRR inputs &amp; outputs'!$B$13</f>
        <v>47794.560000000005</v>
      </c>
      <c r="J7" s="2">
        <f>$B$3*'IRR inputs &amp; outputs'!$B$13</f>
        <v>47794.560000000005</v>
      </c>
      <c r="K7" s="2">
        <f>$B$3*'IRR inputs &amp; outputs'!$B$13</f>
        <v>47794.560000000005</v>
      </c>
      <c r="L7" s="2">
        <f>$B$3*'IRR inputs &amp; outputs'!$B$13</f>
        <v>47794.560000000005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50</v>
      </c>
      <c r="B9" s="2"/>
      <c r="C9" s="2">
        <f t="shared" ref="C9:L9" si="0">SUM(C7:C8)</f>
        <v>47794.560000000005</v>
      </c>
      <c r="D9" s="2">
        <f t="shared" si="0"/>
        <v>47794.560000000005</v>
      </c>
      <c r="E9" s="2">
        <f t="shared" si="0"/>
        <v>47794.560000000005</v>
      </c>
      <c r="F9" s="2">
        <f t="shared" si="0"/>
        <v>47794.560000000005</v>
      </c>
      <c r="G9" s="2">
        <f t="shared" si="0"/>
        <v>47794.560000000005</v>
      </c>
      <c r="H9" s="2">
        <f t="shared" si="0"/>
        <v>47794.560000000005</v>
      </c>
      <c r="I9" s="2">
        <f t="shared" si="0"/>
        <v>47794.560000000005</v>
      </c>
      <c r="J9" s="2">
        <f t="shared" si="0"/>
        <v>47794.560000000005</v>
      </c>
      <c r="K9" s="2">
        <f t="shared" si="0"/>
        <v>47794.560000000005</v>
      </c>
      <c r="L9" s="2">
        <f t="shared" si="0"/>
        <v>47794.560000000005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51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50000</v>
      </c>
      <c r="C12" s="2"/>
      <c r="D12" s="2"/>
      <c r="E12" s="2"/>
      <c r="F12" s="2"/>
      <c r="G12" s="2">
        <f>'IRR inputs &amp; outputs'!B15</f>
        <v>35000</v>
      </c>
      <c r="H12" s="2"/>
      <c r="I12" s="2"/>
      <c r="J12" s="2"/>
      <c r="K12" s="2"/>
      <c r="L12" s="2"/>
    </row>
    <row r="13" spans="1:15">
      <c r="A13" t="s">
        <v>52</v>
      </c>
      <c r="B13" s="2">
        <f>'IRR inputs &amp; outputs'!B16</f>
        <v>1000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53</v>
      </c>
      <c r="B14" s="2"/>
      <c r="C14" s="2">
        <f>'IRR inputs &amp; outputs'!$B$17</f>
        <v>5000</v>
      </c>
      <c r="D14" s="2">
        <f>'IRR inputs &amp; outputs'!$B$17</f>
        <v>5000</v>
      </c>
      <c r="E14" s="2">
        <f>'IRR inputs &amp; outputs'!$B$17</f>
        <v>5000</v>
      </c>
      <c r="F14" s="2">
        <f>'IRR inputs &amp; outputs'!$B$17</f>
        <v>5000</v>
      </c>
      <c r="G14" s="2">
        <f>'IRR inputs &amp; outputs'!$B$17</f>
        <v>5000</v>
      </c>
      <c r="H14" s="2">
        <f>'IRR inputs &amp; outputs'!$B$17</f>
        <v>5000</v>
      </c>
      <c r="I14" s="2">
        <f>'IRR inputs &amp; outputs'!$B$17</f>
        <v>5000</v>
      </c>
      <c r="J14" s="2">
        <f>'IRR inputs &amp; outputs'!$B$17</f>
        <v>5000</v>
      </c>
      <c r="K14" s="2">
        <f>'IRR inputs &amp; outputs'!$B$17</f>
        <v>5000</v>
      </c>
      <c r="L14" s="2">
        <f>'IRR inputs &amp; outputs'!$B$17</f>
        <v>5000</v>
      </c>
    </row>
    <row r="15" spans="1:15">
      <c r="A15" t="s">
        <v>54</v>
      </c>
      <c r="B15" s="2"/>
      <c r="C15" s="2">
        <f>'IRR inputs &amp; outputs'!B14</f>
        <v>750</v>
      </c>
      <c r="D15" s="2">
        <f>'IRR inputs &amp; outputs'!B14</f>
        <v>750</v>
      </c>
      <c r="E15" s="2">
        <f>'IRR inputs &amp; outputs'!B14</f>
        <v>750</v>
      </c>
      <c r="F15" s="2">
        <f>'IRR inputs &amp; outputs'!B14</f>
        <v>750</v>
      </c>
      <c r="G15" s="2">
        <f>'IRR inputs &amp; outputs'!B14</f>
        <v>750</v>
      </c>
      <c r="H15" s="2">
        <f>'IRR inputs &amp; outputs'!B14</f>
        <v>750</v>
      </c>
      <c r="I15" s="2">
        <f>'IRR inputs &amp; outputs'!B14</f>
        <v>750</v>
      </c>
      <c r="J15" s="2">
        <f>'IRR inputs &amp; outputs'!B14</f>
        <v>750</v>
      </c>
      <c r="K15" s="2">
        <f>'IRR inputs &amp; outputs'!B14</f>
        <v>750</v>
      </c>
      <c r="L15" s="2">
        <f>'IRR inputs &amp; outputs'!B14</f>
        <v>750</v>
      </c>
    </row>
    <row r="16" spans="1:15">
      <c r="A16" t="s">
        <v>55</v>
      </c>
      <c r="B16" s="2"/>
      <c r="C16" s="2">
        <f>(1/'IRR inputs &amp; outputs'!$B$8)*$B$3*'IRR inputs &amp; outputs'!$B$9+'IRR inputs &amp; outputs'!$B$10</f>
        <v>18294.568421052631</v>
      </c>
      <c r="D16" s="2">
        <f>(1/'IRR inputs &amp; outputs'!$B$8)*$B$3*'IRR inputs &amp; outputs'!$B$9+'IRR inputs &amp; outputs'!$B$10</f>
        <v>18294.568421052631</v>
      </c>
      <c r="E16" s="2">
        <f>(1/'IRR inputs &amp; outputs'!$B$8)*$B$3*'IRR inputs &amp; outputs'!$B$9+'IRR inputs &amp; outputs'!$B$10</f>
        <v>18294.568421052631</v>
      </c>
      <c r="F16" s="2">
        <f>(1/'IRR inputs &amp; outputs'!$B$8)*$B$3*'IRR inputs &amp; outputs'!$B$9+'IRR inputs &amp; outputs'!$B$10</f>
        <v>18294.568421052631</v>
      </c>
      <c r="G16" s="2">
        <f>(1/'IRR inputs &amp; outputs'!$B$8)*$B$3*'IRR inputs &amp; outputs'!$B$9+'IRR inputs &amp; outputs'!$B$10</f>
        <v>18294.568421052631</v>
      </c>
      <c r="H16" s="2">
        <f>(1/'IRR inputs &amp; outputs'!$B$8)*$B$3*'IRR inputs &amp; outputs'!$B$9+'IRR inputs &amp; outputs'!$B$10</f>
        <v>18294.568421052631</v>
      </c>
      <c r="I16" s="2">
        <f>(1/'IRR inputs &amp; outputs'!$B$8)*$B$3*'IRR inputs &amp; outputs'!$B$9+'IRR inputs &amp; outputs'!$B$10</f>
        <v>18294.568421052631</v>
      </c>
      <c r="J16" s="2">
        <f>(1/'IRR inputs &amp; outputs'!$B$8)*$B$3*'IRR inputs &amp; outputs'!$B$9+'IRR inputs &amp; outputs'!$B$10</f>
        <v>18294.568421052631</v>
      </c>
      <c r="K16" s="2">
        <f>(1/'IRR inputs &amp; outputs'!$B$8)*$B$3*'IRR inputs &amp; outputs'!$B$9+'IRR inputs &amp; outputs'!$B$10</f>
        <v>18294.568421052631</v>
      </c>
      <c r="L16" s="2">
        <f>(1/'IRR inputs &amp; outputs'!$B$8)*$B$3*'IRR inputs &amp; outputs'!$B$9+'IRR inputs &amp; outputs'!$B$10</f>
        <v>18294.568421052631</v>
      </c>
    </row>
    <row r="17" spans="1:12">
      <c r="A17" t="s">
        <v>56</v>
      </c>
      <c r="B17" s="2"/>
      <c r="C17" s="46">
        <f>'IRR inputs &amp; outputs'!$B$12</f>
        <v>600</v>
      </c>
      <c r="D17" s="2">
        <f>'IRR inputs &amp; outputs'!$B$12</f>
        <v>600</v>
      </c>
      <c r="E17" s="2">
        <f>'IRR inputs &amp; outputs'!$B$12</f>
        <v>600</v>
      </c>
      <c r="F17" s="2">
        <f>'IRR inputs &amp; outputs'!$B$12</f>
        <v>600</v>
      </c>
      <c r="G17" s="2">
        <f>'IRR inputs &amp; outputs'!$B$12</f>
        <v>600</v>
      </c>
      <c r="H17" s="2">
        <f>'IRR inputs &amp; outputs'!$B$12</f>
        <v>600</v>
      </c>
      <c r="I17" s="2">
        <f>'IRR inputs &amp; outputs'!$B$12</f>
        <v>600</v>
      </c>
      <c r="J17" s="2">
        <f>'IRR inputs &amp; outputs'!$B$12</f>
        <v>600</v>
      </c>
      <c r="K17" s="2">
        <f>'IRR inputs &amp; outputs'!$B$12</f>
        <v>600</v>
      </c>
      <c r="L17" s="2">
        <f>'IRR inputs &amp; outputs'!$B$12</f>
        <v>600</v>
      </c>
    </row>
    <row r="18" spans="1:12">
      <c r="A18" t="s">
        <v>57</v>
      </c>
      <c r="B18" s="2"/>
      <c r="C18" s="2">
        <f>$B$3*'IRR inputs &amp; outputs'!$B$11*'IRR inputs &amp; outputs'!$B$13</f>
        <v>3584.5920000000001</v>
      </c>
      <c r="D18" s="2">
        <f>$B$3*'IRR inputs &amp; outputs'!$B$11*'IRR inputs &amp; outputs'!$B$13</f>
        <v>3584.5920000000001</v>
      </c>
      <c r="E18" s="2">
        <f>$B$3*'IRR inputs &amp; outputs'!$B$11*'IRR inputs &amp; outputs'!$B$13</f>
        <v>3584.5920000000001</v>
      </c>
      <c r="F18" s="2">
        <f>$B$3*'IRR inputs &amp; outputs'!$B$11*'IRR inputs &amp; outputs'!$B$13</f>
        <v>3584.5920000000001</v>
      </c>
      <c r="G18" s="2">
        <f>$B$3*'IRR inputs &amp; outputs'!$B$11*'IRR inputs &amp; outputs'!$B$13</f>
        <v>3584.5920000000001</v>
      </c>
      <c r="H18" s="2">
        <f>$B$3*'IRR inputs &amp; outputs'!$B$11*'IRR inputs &amp; outputs'!$B$13</f>
        <v>3584.5920000000001</v>
      </c>
      <c r="I18" s="2">
        <f>$B$3*'IRR inputs &amp; outputs'!$B$11*'IRR inputs &amp; outputs'!$B$13</f>
        <v>3584.5920000000001</v>
      </c>
      <c r="J18" s="2">
        <f>$B$3*'IRR inputs &amp; outputs'!$B$11*'IRR inputs &amp; outputs'!$B$13</f>
        <v>3584.5920000000001</v>
      </c>
      <c r="K18" s="2">
        <f>$B$3*'IRR inputs &amp; outputs'!$B$11*'IRR inputs &amp; outputs'!$B$13</f>
        <v>3584.5920000000001</v>
      </c>
      <c r="L18" s="2">
        <f>$B$3*'IRR inputs &amp; outputs'!$B$11*'IRR inputs &amp; outputs'!$B$13</f>
        <v>3584.5920000000001</v>
      </c>
    </row>
    <row r="19" spans="1:12">
      <c r="A19" t="s">
        <v>58</v>
      </c>
      <c r="B19" s="3">
        <f t="shared" ref="B19:L19" si="1">SUM(B12:B18)</f>
        <v>51000</v>
      </c>
      <c r="C19" s="3">
        <f t="shared" si="1"/>
        <v>28229.160421052631</v>
      </c>
      <c r="D19" s="3">
        <f t="shared" si="1"/>
        <v>28229.160421052631</v>
      </c>
      <c r="E19" s="3">
        <f t="shared" si="1"/>
        <v>28229.160421052631</v>
      </c>
      <c r="F19" s="3">
        <f t="shared" si="1"/>
        <v>28229.160421052631</v>
      </c>
      <c r="G19" s="3">
        <f t="shared" si="1"/>
        <v>63229.160421052627</v>
      </c>
      <c r="H19" s="3">
        <f t="shared" si="1"/>
        <v>28229.160421052631</v>
      </c>
      <c r="I19" s="3">
        <f t="shared" si="1"/>
        <v>28229.160421052631</v>
      </c>
      <c r="J19" s="3">
        <f t="shared" si="1"/>
        <v>28229.160421052631</v>
      </c>
      <c r="K19" s="3">
        <f t="shared" si="1"/>
        <v>28229.160421052631</v>
      </c>
      <c r="L19" s="3">
        <f t="shared" si="1"/>
        <v>28229.160421052631</v>
      </c>
    </row>
    <row r="21" spans="1:12">
      <c r="A21" t="s">
        <v>59</v>
      </c>
      <c r="B21" s="3">
        <f t="shared" ref="B21:L21" si="2">B9-B19</f>
        <v>-51000</v>
      </c>
      <c r="C21" s="3">
        <f t="shared" si="2"/>
        <v>19565.399578947374</v>
      </c>
      <c r="D21" s="3">
        <f t="shared" si="2"/>
        <v>19565.399578947374</v>
      </c>
      <c r="E21" s="3">
        <f t="shared" si="2"/>
        <v>19565.399578947374</v>
      </c>
      <c r="F21" s="3">
        <f t="shared" si="2"/>
        <v>19565.399578947374</v>
      </c>
      <c r="G21" s="3">
        <f t="shared" si="2"/>
        <v>-15434.600421052623</v>
      </c>
      <c r="H21" s="3">
        <f t="shared" si="2"/>
        <v>19565.399578947374</v>
      </c>
      <c r="I21" s="3">
        <f t="shared" si="2"/>
        <v>19565.399578947374</v>
      </c>
      <c r="J21" s="3">
        <f t="shared" si="2"/>
        <v>19565.399578947374</v>
      </c>
      <c r="K21" s="3">
        <f t="shared" si="2"/>
        <v>19565.399578947374</v>
      </c>
      <c r="L21" s="3">
        <f t="shared" si="2"/>
        <v>19565.399578947374</v>
      </c>
    </row>
    <row r="23" spans="1:12">
      <c r="A23" t="s">
        <v>25</v>
      </c>
      <c r="B23" s="4">
        <f>IFERROR(IRR(B21:L21),NA())</f>
        <v>0.30047107009996865</v>
      </c>
    </row>
    <row r="25" spans="1:12">
      <c r="A25" s="1" t="s">
        <v>60</v>
      </c>
    </row>
    <row r="26" spans="1:12">
      <c r="A26" t="s">
        <v>41</v>
      </c>
      <c r="B26" s="4">
        <v>0.1</v>
      </c>
    </row>
    <row r="27" spans="1:12">
      <c r="A27" t="s">
        <v>61</v>
      </c>
      <c r="B27" s="3">
        <f>$B$12*(1-B26)</f>
        <v>45000</v>
      </c>
    </row>
    <row r="28" spans="1:12">
      <c r="A28" s="4" t="s">
        <v>62</v>
      </c>
      <c r="B28" s="3">
        <f>-B27</f>
        <v>-45000</v>
      </c>
      <c r="C28" s="3">
        <f>$C$21</f>
        <v>19565.399578947374</v>
      </c>
      <c r="D28" s="3">
        <f>$D$21</f>
        <v>19565.399578947374</v>
      </c>
      <c r="E28" s="3">
        <f>$E$21</f>
        <v>19565.399578947374</v>
      </c>
      <c r="F28" s="3">
        <f>$F$21</f>
        <v>19565.399578947374</v>
      </c>
      <c r="G28" s="3">
        <f>$G$21</f>
        <v>-15434.600421052623</v>
      </c>
      <c r="H28" s="3">
        <f>$H$21</f>
        <v>19565.399578947374</v>
      </c>
      <c r="I28" s="3">
        <f>$I$21</f>
        <v>19565.399578947374</v>
      </c>
      <c r="J28" s="3">
        <f>$J$21</f>
        <v>19565.399578947374</v>
      </c>
      <c r="K28" s="3">
        <f>$K$21</f>
        <v>19565.399578947374</v>
      </c>
      <c r="L28" s="3">
        <f>$L$21</f>
        <v>19565.399578947374</v>
      </c>
    </row>
    <row r="29" spans="1:12">
      <c r="A29" s="4" t="s">
        <v>25</v>
      </c>
      <c r="B29" s="4">
        <f>IFERROR(IRR(B28:L28),NA())</f>
        <v>0.35310545621163714</v>
      </c>
    </row>
    <row r="30" spans="1:12">
      <c r="A30" s="4"/>
      <c r="B30" s="3"/>
    </row>
    <row r="31" spans="1:12">
      <c r="A31" t="s">
        <v>41</v>
      </c>
      <c r="B31" s="4">
        <v>0.15</v>
      </c>
    </row>
    <row r="32" spans="1:12">
      <c r="A32" t="s">
        <v>61</v>
      </c>
      <c r="B32" s="3">
        <f>$B$12*(1-B31)</f>
        <v>42500</v>
      </c>
    </row>
    <row r="33" spans="1:12">
      <c r="A33" s="4" t="s">
        <v>62</v>
      </c>
      <c r="B33" s="3">
        <f>-B32</f>
        <v>-42500</v>
      </c>
      <c r="C33" s="3">
        <f>$C$21</f>
        <v>19565.399578947374</v>
      </c>
      <c r="D33" s="3">
        <f>$D$21</f>
        <v>19565.399578947374</v>
      </c>
      <c r="E33" s="3">
        <f>$E$21</f>
        <v>19565.399578947374</v>
      </c>
      <c r="F33" s="3">
        <f>$F$21</f>
        <v>19565.399578947374</v>
      </c>
      <c r="G33" s="3">
        <f>$G$21</f>
        <v>-15434.600421052623</v>
      </c>
      <c r="H33" s="3">
        <f>$H$21</f>
        <v>19565.399578947374</v>
      </c>
      <c r="I33" s="3">
        <f>$I$21</f>
        <v>19565.399578947374</v>
      </c>
      <c r="J33" s="3">
        <f>$J$21</f>
        <v>19565.399578947374</v>
      </c>
      <c r="K33" s="3">
        <f>$K$21</f>
        <v>19565.399578947374</v>
      </c>
      <c r="L33" s="3">
        <f>$L$21</f>
        <v>19565.399578947374</v>
      </c>
    </row>
    <row r="34" spans="1:12">
      <c r="A34" s="4" t="s">
        <v>25</v>
      </c>
      <c r="B34" s="4">
        <f>IFERROR(IRR(B33:L33),NA())</f>
        <v>0.37932499384370355</v>
      </c>
    </row>
    <row r="35" spans="1:12">
      <c r="A35" s="4"/>
      <c r="B35" s="3"/>
      <c r="H35" s="3">
        <f>SUM('20% utilisation'!I18:M18)+SUM('20% utilisation'!I16:M16)</f>
        <v>87516.641684210525</v>
      </c>
    </row>
    <row r="36" spans="1:12">
      <c r="A36" t="s">
        <v>41</v>
      </c>
      <c r="B36" s="4">
        <v>0.2</v>
      </c>
    </row>
    <row r="37" spans="1:12">
      <c r="A37" t="s">
        <v>61</v>
      </c>
      <c r="B37" s="3">
        <f>$B$12*(1-B36)</f>
        <v>40000</v>
      </c>
    </row>
    <row r="38" spans="1:12">
      <c r="A38" s="4" t="s">
        <v>62</v>
      </c>
      <c r="B38" s="3">
        <f>-B37</f>
        <v>-40000</v>
      </c>
      <c r="C38" s="3">
        <f>$C$21</f>
        <v>19565.399578947374</v>
      </c>
      <c r="D38" s="3">
        <f>$D$21</f>
        <v>19565.399578947374</v>
      </c>
      <c r="E38" s="3">
        <f>$E$21</f>
        <v>19565.399578947374</v>
      </c>
      <c r="F38" s="3">
        <f>$F$21</f>
        <v>19565.399578947374</v>
      </c>
      <c r="G38" s="3">
        <f>$G$21</f>
        <v>-15434.600421052623</v>
      </c>
      <c r="H38" s="3">
        <f>$H$21</f>
        <v>19565.399578947374</v>
      </c>
      <c r="I38" s="3">
        <f>$I$21</f>
        <v>19565.399578947374</v>
      </c>
      <c r="J38" s="3">
        <f>$J$21</f>
        <v>19565.399578947374</v>
      </c>
      <c r="K38" s="3">
        <f>$K$21</f>
        <v>19565.399578947374</v>
      </c>
      <c r="L38" s="3">
        <f>$L$21</f>
        <v>19565.399578947374</v>
      </c>
    </row>
    <row r="39" spans="1:12">
      <c r="A39" s="4" t="s">
        <v>25</v>
      </c>
      <c r="B39" s="4">
        <f>IFERROR(IRR(B38:L38),NA())</f>
        <v>0.40879334838185089</v>
      </c>
    </row>
    <row r="41" spans="1:12">
      <c r="A41" t="s">
        <v>41</v>
      </c>
      <c r="B41" s="4">
        <v>0.25</v>
      </c>
    </row>
    <row r="42" spans="1:12">
      <c r="A42" t="s">
        <v>61</v>
      </c>
      <c r="B42" s="3">
        <f>$B$12*(1-B41)</f>
        <v>37500</v>
      </c>
    </row>
    <row r="43" spans="1:12">
      <c r="A43" s="4" t="s">
        <v>62</v>
      </c>
      <c r="B43" s="3">
        <f>-B42</f>
        <v>-37500</v>
      </c>
      <c r="C43" s="3">
        <f>$C$21</f>
        <v>19565.399578947374</v>
      </c>
      <c r="D43" s="3">
        <f>$D$21</f>
        <v>19565.399578947374</v>
      </c>
      <c r="E43" s="3">
        <f>$E$21</f>
        <v>19565.399578947374</v>
      </c>
      <c r="F43" s="3">
        <f>$F$21</f>
        <v>19565.399578947374</v>
      </c>
      <c r="G43" s="3">
        <f>$G$21</f>
        <v>-15434.600421052623</v>
      </c>
      <c r="H43" s="3">
        <f>$H$21</f>
        <v>19565.399578947374</v>
      </c>
      <c r="I43" s="3">
        <f>$I$21</f>
        <v>19565.399578947374</v>
      </c>
      <c r="J43" s="3">
        <f>$J$21</f>
        <v>19565.399578947374</v>
      </c>
      <c r="K43" s="3">
        <f>$K$21</f>
        <v>19565.399578947374</v>
      </c>
      <c r="L43" s="3">
        <f>$L$21</f>
        <v>19565.399578947374</v>
      </c>
    </row>
    <row r="44" spans="1:12">
      <c r="A44" s="4" t="s">
        <v>25</v>
      </c>
      <c r="B44" s="4">
        <f>IFERROR(IRR(B43:L43),NA())</f>
        <v>0.4421894178640291</v>
      </c>
    </row>
    <row r="46" spans="1:12">
      <c r="A46" t="s">
        <v>41</v>
      </c>
      <c r="B46" s="4">
        <v>0.3</v>
      </c>
    </row>
    <row r="47" spans="1:12">
      <c r="A47" t="s">
        <v>61</v>
      </c>
      <c r="B47" s="3">
        <f>$B$12*(1-B46)</f>
        <v>35000</v>
      </c>
    </row>
    <row r="48" spans="1:12">
      <c r="A48" s="4" t="s">
        <v>62</v>
      </c>
      <c r="B48" s="3">
        <f>-B47</f>
        <v>-35000</v>
      </c>
      <c r="C48" s="3">
        <f>$C$21</f>
        <v>19565.399578947374</v>
      </c>
      <c r="D48" s="3">
        <f>$D$21</f>
        <v>19565.399578947374</v>
      </c>
      <c r="E48" s="3">
        <f>$E$21</f>
        <v>19565.399578947374</v>
      </c>
      <c r="F48" s="3">
        <f>$F$21</f>
        <v>19565.399578947374</v>
      </c>
      <c r="G48" s="3">
        <f>$G$21</f>
        <v>-15434.600421052623</v>
      </c>
      <c r="H48" s="3">
        <f>$H$21</f>
        <v>19565.399578947374</v>
      </c>
      <c r="I48" s="3">
        <f>$I$21</f>
        <v>19565.399578947374</v>
      </c>
      <c r="J48" s="3">
        <f>$J$21</f>
        <v>19565.399578947374</v>
      </c>
      <c r="K48" s="3">
        <f>$K$21</f>
        <v>19565.399578947374</v>
      </c>
      <c r="L48" s="3">
        <f>$L$21</f>
        <v>19565.399578947374</v>
      </c>
    </row>
    <row r="49" spans="1:12">
      <c r="A49" s="4" t="s">
        <v>25</v>
      </c>
      <c r="B49" s="4">
        <f>IFERROR(IRR(B48:L48),NA())</f>
        <v>0.48039022203467985</v>
      </c>
    </row>
    <row r="51" spans="1:12">
      <c r="A51" t="s">
        <v>41</v>
      </c>
      <c r="B51" s="4">
        <v>0.35</v>
      </c>
    </row>
    <row r="52" spans="1:12">
      <c r="A52" t="s">
        <v>61</v>
      </c>
      <c r="B52" s="3">
        <f>$B$12*(1-B51)</f>
        <v>32500</v>
      </c>
    </row>
    <row r="53" spans="1:12">
      <c r="A53" s="4" t="s">
        <v>62</v>
      </c>
      <c r="B53" s="3">
        <f>-B52</f>
        <v>-32500</v>
      </c>
      <c r="C53" s="3">
        <f>$C$21</f>
        <v>19565.399578947374</v>
      </c>
      <c r="D53" s="3">
        <f>$D$21</f>
        <v>19565.399578947374</v>
      </c>
      <c r="E53" s="3">
        <f>$E$21</f>
        <v>19565.399578947374</v>
      </c>
      <c r="F53" s="3">
        <f>$F$21</f>
        <v>19565.399578947374</v>
      </c>
      <c r="G53" s="3">
        <f>$G$21</f>
        <v>-15434.600421052623</v>
      </c>
      <c r="H53" s="3">
        <f>$H$21</f>
        <v>19565.399578947374</v>
      </c>
      <c r="I53" s="3">
        <f>$I$21</f>
        <v>19565.399578947374</v>
      </c>
      <c r="J53" s="3">
        <f>$J$21</f>
        <v>19565.399578947374</v>
      </c>
      <c r="K53" s="3">
        <f>$K$21</f>
        <v>19565.399578947374</v>
      </c>
      <c r="L53" s="3">
        <f>$L$21</f>
        <v>19565.399578947374</v>
      </c>
    </row>
    <row r="54" spans="1:12">
      <c r="A54" s="4" t="s">
        <v>25</v>
      </c>
      <c r="B54" s="4">
        <f>IFERROR(IRR(B53:L53),NA())</f>
        <v>0.52454587028508448</v>
      </c>
    </row>
    <row r="56" spans="1:12">
      <c r="A56" t="s">
        <v>41</v>
      </c>
      <c r="B56" s="4">
        <v>0.4</v>
      </c>
    </row>
    <row r="57" spans="1:12">
      <c r="A57" t="s">
        <v>61</v>
      </c>
      <c r="B57" s="3">
        <f>$B$12*(1-B56)</f>
        <v>30000</v>
      </c>
    </row>
    <row r="58" spans="1:12">
      <c r="A58" s="4" t="s">
        <v>62</v>
      </c>
      <c r="B58" s="3">
        <f>-B57</f>
        <v>-30000</v>
      </c>
      <c r="C58" s="3">
        <f>$C$21</f>
        <v>19565.399578947374</v>
      </c>
      <c r="D58" s="3">
        <f>$D$21</f>
        <v>19565.399578947374</v>
      </c>
      <c r="E58" s="3">
        <f>$E$21</f>
        <v>19565.399578947374</v>
      </c>
      <c r="F58" s="3">
        <f>$F$21</f>
        <v>19565.399578947374</v>
      </c>
      <c r="G58" s="3">
        <f>$G$21</f>
        <v>-15434.600421052623</v>
      </c>
      <c r="H58" s="3">
        <f>$H$21</f>
        <v>19565.399578947374</v>
      </c>
      <c r="I58" s="3">
        <f>$I$21</f>
        <v>19565.399578947374</v>
      </c>
      <c r="J58" s="3">
        <f>$J$21</f>
        <v>19565.399578947374</v>
      </c>
      <c r="K58" s="3">
        <f>$K$21</f>
        <v>19565.399578947374</v>
      </c>
      <c r="L58" s="3">
        <f>$L$21</f>
        <v>19565.399578947374</v>
      </c>
    </row>
    <row r="59" spans="1:12">
      <c r="A59" s="4" t="s">
        <v>25</v>
      </c>
      <c r="B59" s="4">
        <f>IFERROR(IRR(B58:L58),NA())</f>
        <v>0.57619038114050314</v>
      </c>
    </row>
    <row r="61" spans="1:12">
      <c r="A61" t="s">
        <v>41</v>
      </c>
      <c r="B61" s="4">
        <v>0.45</v>
      </c>
    </row>
    <row r="62" spans="1:12">
      <c r="A62" t="s">
        <v>61</v>
      </c>
      <c r="B62" s="3">
        <f>$B$12*(1-B61)</f>
        <v>27500.000000000004</v>
      </c>
    </row>
    <row r="63" spans="1:12">
      <c r="A63" s="4" t="s">
        <v>62</v>
      </c>
      <c r="B63" s="3">
        <f>-B62</f>
        <v>-27500.000000000004</v>
      </c>
      <c r="C63" s="3">
        <f>$C$21</f>
        <v>19565.399578947374</v>
      </c>
      <c r="D63" s="3">
        <f>$D$21</f>
        <v>19565.399578947374</v>
      </c>
      <c r="E63" s="3">
        <f>$E$21</f>
        <v>19565.399578947374</v>
      </c>
      <c r="F63" s="3">
        <f>$F$21</f>
        <v>19565.399578947374</v>
      </c>
      <c r="G63" s="3">
        <f>$G$21</f>
        <v>-15434.600421052623</v>
      </c>
      <c r="H63" s="3">
        <f>$H$21</f>
        <v>19565.399578947374</v>
      </c>
      <c r="I63" s="3">
        <f>$I$21</f>
        <v>19565.399578947374</v>
      </c>
      <c r="J63" s="3">
        <f>$J$21</f>
        <v>19565.399578947374</v>
      </c>
      <c r="K63" s="3">
        <f>$K$21</f>
        <v>19565.399578947374</v>
      </c>
      <c r="L63" s="3">
        <f>$L$21</f>
        <v>19565.399578947374</v>
      </c>
    </row>
    <row r="64" spans="1:12">
      <c r="A64" s="4" t="s">
        <v>25</v>
      </c>
      <c r="B64" s="4">
        <f>IFERROR(IRR(B63:L63),NA())</f>
        <v>0.63741015563250336</v>
      </c>
    </row>
    <row r="66" spans="1:12">
      <c r="A66" t="s">
        <v>41</v>
      </c>
      <c r="B66" s="4">
        <v>0.5</v>
      </c>
    </row>
    <row r="67" spans="1:12">
      <c r="A67" t="s">
        <v>61</v>
      </c>
      <c r="B67" s="3">
        <f>$B$12*(1-B66)</f>
        <v>25000</v>
      </c>
    </row>
    <row r="68" spans="1:12">
      <c r="A68" s="4" t="s">
        <v>62</v>
      </c>
      <c r="B68" s="3">
        <f>-B67</f>
        <v>-25000</v>
      </c>
      <c r="C68" s="3">
        <f>$C$21</f>
        <v>19565.399578947374</v>
      </c>
      <c r="D68" s="3">
        <f>$D$21</f>
        <v>19565.399578947374</v>
      </c>
      <c r="E68" s="3">
        <f>$E$21</f>
        <v>19565.399578947374</v>
      </c>
      <c r="F68" s="3">
        <f>$F$21</f>
        <v>19565.399578947374</v>
      </c>
      <c r="G68" s="3">
        <f>$G$21</f>
        <v>-15434.600421052623</v>
      </c>
      <c r="H68" s="3">
        <f>$H$21</f>
        <v>19565.399578947374</v>
      </c>
      <c r="I68" s="3">
        <f>$I$21</f>
        <v>19565.399578947374</v>
      </c>
      <c r="J68" s="3">
        <f>$J$21</f>
        <v>19565.399578947374</v>
      </c>
      <c r="K68" s="3">
        <f>$K$21</f>
        <v>19565.399578947374</v>
      </c>
      <c r="L68" s="3">
        <f>$L$21</f>
        <v>19565.399578947374</v>
      </c>
    </row>
    <row r="69" spans="1:12">
      <c r="A69" s="4" t="s">
        <v>25</v>
      </c>
      <c r="B69" s="4">
        <f>IFERROR(IRR(B68:L68),NA())</f>
        <v>0.71110906650308836</v>
      </c>
    </row>
    <row r="71" spans="1:12">
      <c r="A71" t="s">
        <v>41</v>
      </c>
      <c r="B71" s="4">
        <v>0.55000000000000004</v>
      </c>
    </row>
    <row r="72" spans="1:12">
      <c r="A72" t="s">
        <v>61</v>
      </c>
      <c r="B72" s="3">
        <f>$B$12*(1-B71)</f>
        <v>22499.999999999996</v>
      </c>
    </row>
    <row r="73" spans="1:12">
      <c r="A73" s="4" t="s">
        <v>62</v>
      </c>
      <c r="B73" s="3">
        <f>-B72</f>
        <v>-22499.999999999996</v>
      </c>
      <c r="C73" s="3">
        <f>$C$21</f>
        <v>19565.399578947374</v>
      </c>
      <c r="D73" s="3">
        <f>$D$21</f>
        <v>19565.399578947374</v>
      </c>
      <c r="E73" s="3">
        <f>$E$21</f>
        <v>19565.399578947374</v>
      </c>
      <c r="F73" s="3">
        <f>$F$21</f>
        <v>19565.399578947374</v>
      </c>
      <c r="G73" s="3">
        <f>$G$21</f>
        <v>-15434.600421052623</v>
      </c>
      <c r="H73" s="3">
        <f>$H$21</f>
        <v>19565.399578947374</v>
      </c>
      <c r="I73" s="3">
        <f>$I$21</f>
        <v>19565.399578947374</v>
      </c>
      <c r="J73" s="3">
        <f>$J$21</f>
        <v>19565.399578947374</v>
      </c>
      <c r="K73" s="3">
        <f>$K$21</f>
        <v>19565.399578947374</v>
      </c>
      <c r="L73" s="3">
        <f>$L$21</f>
        <v>19565.399578947374</v>
      </c>
    </row>
    <row r="74" spans="1:12">
      <c r="A74" s="4" t="s">
        <v>25</v>
      </c>
      <c r="B74" s="4">
        <f>IFERROR(IRR(B73:L73),NA())</f>
        <v>0.80144373311879158</v>
      </c>
    </row>
    <row r="76" spans="1:12">
      <c r="A76" t="s">
        <v>41</v>
      </c>
      <c r="B76" s="4">
        <v>0.6</v>
      </c>
    </row>
    <row r="77" spans="1:12">
      <c r="A77" t="s">
        <v>61</v>
      </c>
      <c r="B77" s="3">
        <f>$B$12*(1-B76)</f>
        <v>20000</v>
      </c>
    </row>
    <row r="78" spans="1:12">
      <c r="A78" s="4" t="s">
        <v>62</v>
      </c>
      <c r="B78" s="3">
        <f>-B77</f>
        <v>-20000</v>
      </c>
      <c r="C78" s="3">
        <f>$C$21</f>
        <v>19565.399578947374</v>
      </c>
      <c r="D78" s="3">
        <f>$D$21</f>
        <v>19565.399578947374</v>
      </c>
      <c r="E78" s="3">
        <f>$E$21</f>
        <v>19565.399578947374</v>
      </c>
      <c r="F78" s="3">
        <f>$F$21</f>
        <v>19565.399578947374</v>
      </c>
      <c r="G78" s="3">
        <f>$G$21</f>
        <v>-15434.600421052623</v>
      </c>
      <c r="H78" s="3">
        <f>$H$21</f>
        <v>19565.399578947374</v>
      </c>
      <c r="I78" s="3">
        <f>$I$21</f>
        <v>19565.399578947374</v>
      </c>
      <c r="J78" s="3">
        <f>$J$21</f>
        <v>19565.399578947374</v>
      </c>
      <c r="K78" s="3">
        <f>$K$21</f>
        <v>19565.399578947374</v>
      </c>
      <c r="L78" s="3">
        <f>$L$21</f>
        <v>19565.399578947374</v>
      </c>
    </row>
    <row r="79" spans="1:12">
      <c r="A79" s="4" t="s">
        <v>25</v>
      </c>
      <c r="B79" s="4">
        <f>IFERROR(IRR(B78:L78),NA())</f>
        <v>0.91457691907377825</v>
      </c>
    </row>
    <row r="81" spans="1:12">
      <c r="A81" t="s">
        <v>41</v>
      </c>
      <c r="B81" s="4">
        <v>0.65</v>
      </c>
    </row>
    <row r="82" spans="1:12">
      <c r="A82" t="s">
        <v>61</v>
      </c>
      <c r="B82" s="3">
        <f>$B$12*(1-B81)</f>
        <v>17500</v>
      </c>
    </row>
    <row r="83" spans="1:12">
      <c r="A83" s="4" t="s">
        <v>62</v>
      </c>
      <c r="B83" s="3">
        <f>-B82</f>
        <v>-17500</v>
      </c>
      <c r="C83" s="3">
        <f>$C$21</f>
        <v>19565.399578947374</v>
      </c>
      <c r="D83" s="3">
        <f>$D$21</f>
        <v>19565.399578947374</v>
      </c>
      <c r="E83" s="3">
        <f>$E$21</f>
        <v>19565.399578947374</v>
      </c>
      <c r="F83" s="3">
        <f>$F$21</f>
        <v>19565.399578947374</v>
      </c>
      <c r="G83" s="3">
        <f>$G$21</f>
        <v>-15434.600421052623</v>
      </c>
      <c r="H83" s="3">
        <f>$H$21</f>
        <v>19565.399578947374</v>
      </c>
      <c r="I83" s="3">
        <f>$I$21</f>
        <v>19565.399578947374</v>
      </c>
      <c r="J83" s="3">
        <f>$J$21</f>
        <v>19565.399578947374</v>
      </c>
      <c r="K83" s="3">
        <f>$K$21</f>
        <v>19565.399578947374</v>
      </c>
      <c r="L83" s="3">
        <f>$L$21</f>
        <v>19565.399578947374</v>
      </c>
    </row>
    <row r="84" spans="1:12">
      <c r="A84" s="4" t="s">
        <v>25</v>
      </c>
      <c r="B84" s="4">
        <f>IFERROR(IRR(B83:L83),NA())</f>
        <v>1.0600686792615694</v>
      </c>
    </row>
    <row r="86" spans="1:12">
      <c r="A86" t="s">
        <v>41</v>
      </c>
      <c r="B86" s="4">
        <v>0.7</v>
      </c>
    </row>
    <row r="87" spans="1:12">
      <c r="A87" t="s">
        <v>61</v>
      </c>
      <c r="B87" s="3">
        <f>$B$12*(1-B86)</f>
        <v>15000.000000000002</v>
      </c>
    </row>
    <row r="88" spans="1:12">
      <c r="A88" s="4" t="s">
        <v>62</v>
      </c>
      <c r="B88" s="3">
        <f>-B87</f>
        <v>-15000.000000000002</v>
      </c>
      <c r="C88" s="3">
        <f>$C$21</f>
        <v>19565.399578947374</v>
      </c>
      <c r="D88" s="3">
        <f>$D$21</f>
        <v>19565.399578947374</v>
      </c>
      <c r="E88" s="3">
        <f>$E$21</f>
        <v>19565.399578947374</v>
      </c>
      <c r="F88" s="3">
        <f>$F$21</f>
        <v>19565.399578947374</v>
      </c>
      <c r="G88" s="3">
        <f>$G$21</f>
        <v>-15434.600421052623</v>
      </c>
      <c r="H88" s="3">
        <f>$H$21</f>
        <v>19565.399578947374</v>
      </c>
      <c r="I88" s="3">
        <f>$I$21</f>
        <v>19565.399578947374</v>
      </c>
      <c r="J88" s="3">
        <f>$J$21</f>
        <v>19565.399578947374</v>
      </c>
      <c r="K88" s="3">
        <f>$K$21</f>
        <v>19565.399578947374</v>
      </c>
      <c r="L88" s="3">
        <f>$L$21</f>
        <v>19565.399578947374</v>
      </c>
    </row>
    <row r="89" spans="1:12">
      <c r="A89" s="4" t="s">
        <v>25</v>
      </c>
      <c r="B89" s="4">
        <f>IFERROR(IRR(B88:L88),NA())</f>
        <v>1.2536568244743087</v>
      </c>
    </row>
    <row r="91" spans="1:12">
      <c r="A91" t="s">
        <v>41</v>
      </c>
      <c r="B91" s="4">
        <v>0.75</v>
      </c>
    </row>
    <row r="92" spans="1:12">
      <c r="A92" t="s">
        <v>61</v>
      </c>
      <c r="B92" s="3">
        <f>$B$12*(1-B91)</f>
        <v>12500</v>
      </c>
    </row>
    <row r="93" spans="1:12">
      <c r="A93" s="4" t="s">
        <v>62</v>
      </c>
      <c r="B93" s="3">
        <f>-B92</f>
        <v>-12500</v>
      </c>
      <c r="C93" s="3">
        <f>$C$21</f>
        <v>19565.399578947374</v>
      </c>
      <c r="D93" s="3">
        <f>$D$21</f>
        <v>19565.399578947374</v>
      </c>
      <c r="E93" s="3">
        <f>$E$21</f>
        <v>19565.399578947374</v>
      </c>
      <c r="F93" s="3">
        <f>$F$21</f>
        <v>19565.399578947374</v>
      </c>
      <c r="G93" s="3">
        <f>$G$21</f>
        <v>-15434.600421052623</v>
      </c>
      <c r="H93" s="3">
        <f>$H$21</f>
        <v>19565.399578947374</v>
      </c>
      <c r="I93" s="3">
        <f>$I$21</f>
        <v>19565.399578947374</v>
      </c>
      <c r="J93" s="3">
        <f>$J$21</f>
        <v>19565.399578947374</v>
      </c>
      <c r="K93" s="3">
        <f>$K$21</f>
        <v>19565.399578947374</v>
      </c>
      <c r="L93" s="3">
        <f>$L$21</f>
        <v>19565.399578947374</v>
      </c>
    </row>
    <row r="94" spans="1:12">
      <c r="A94" s="4" t="s">
        <v>25</v>
      </c>
      <c r="B94" s="4">
        <f>IFERROR(IRR(B93:L93),NA())</f>
        <v>1.5233910174631347</v>
      </c>
    </row>
    <row r="96" spans="1:12">
      <c r="A96" t="s">
        <v>41</v>
      </c>
      <c r="B96" s="4">
        <v>0.8</v>
      </c>
    </row>
    <row r="97" spans="1:12">
      <c r="A97" t="s">
        <v>61</v>
      </c>
      <c r="B97" s="3">
        <f>$B$12*(1-B96)</f>
        <v>9999.9999999999982</v>
      </c>
    </row>
    <row r="98" spans="1:12">
      <c r="A98" s="4" t="s">
        <v>62</v>
      </c>
      <c r="B98" s="3">
        <f>-B97</f>
        <v>-9999.9999999999982</v>
      </c>
      <c r="C98" s="3">
        <f>$C$21</f>
        <v>19565.399578947374</v>
      </c>
      <c r="D98" s="3">
        <f>$D$21</f>
        <v>19565.399578947374</v>
      </c>
      <c r="E98" s="3">
        <f>$E$21</f>
        <v>19565.399578947374</v>
      </c>
      <c r="F98" s="3">
        <f>$F$21</f>
        <v>19565.399578947374</v>
      </c>
      <c r="G98" s="3">
        <f>$G$21</f>
        <v>-15434.600421052623</v>
      </c>
      <c r="H98" s="3">
        <f>$H$21</f>
        <v>19565.399578947374</v>
      </c>
      <c r="I98" s="3">
        <f>$I$21</f>
        <v>19565.399578947374</v>
      </c>
      <c r="J98" s="3">
        <f>$J$21</f>
        <v>19565.399578947374</v>
      </c>
      <c r="K98" s="3">
        <f>$K$21</f>
        <v>19565.399578947374</v>
      </c>
      <c r="L98" s="3">
        <f>$L$21</f>
        <v>19565.399578947374</v>
      </c>
    </row>
    <row r="99" spans="1:12">
      <c r="A99" s="4" t="s">
        <v>25</v>
      </c>
      <c r="B99" s="4">
        <f>IFERROR(IRR(B98:L98),NA())</f>
        <v>1.9250303994215496</v>
      </c>
    </row>
    <row r="101" spans="1:12">
      <c r="A101" t="s">
        <v>41</v>
      </c>
      <c r="B101" s="4">
        <v>0.85</v>
      </c>
    </row>
    <row r="102" spans="1:12">
      <c r="A102" t="s">
        <v>61</v>
      </c>
      <c r="B102" s="3">
        <f>$B$12*(1-B101)</f>
        <v>7500.0000000000009</v>
      </c>
    </row>
    <row r="103" spans="1:12">
      <c r="A103" s="4" t="s">
        <v>62</v>
      </c>
      <c r="B103" s="3">
        <f>-B102</f>
        <v>-7500.0000000000009</v>
      </c>
      <c r="C103" s="3">
        <f>$C$21</f>
        <v>19565.399578947374</v>
      </c>
      <c r="D103" s="3">
        <f>$D$21</f>
        <v>19565.399578947374</v>
      </c>
      <c r="E103" s="3">
        <f>$E$21</f>
        <v>19565.399578947374</v>
      </c>
      <c r="F103" s="3">
        <f>$F$21</f>
        <v>19565.399578947374</v>
      </c>
      <c r="G103" s="3">
        <f>$G$21</f>
        <v>-15434.600421052623</v>
      </c>
      <c r="H103" s="3">
        <f>$H$21</f>
        <v>19565.399578947374</v>
      </c>
      <c r="I103" s="3">
        <f>$I$21</f>
        <v>19565.399578947374</v>
      </c>
      <c r="J103" s="3">
        <f>$J$21</f>
        <v>19565.399578947374</v>
      </c>
      <c r="K103" s="3">
        <f>$K$21</f>
        <v>19565.399578947374</v>
      </c>
      <c r="L103" s="3">
        <f>$L$21</f>
        <v>19565.399578947374</v>
      </c>
    </row>
    <row r="104" spans="1:12">
      <c r="A104" s="4" t="s">
        <v>25</v>
      </c>
      <c r="B104" s="4">
        <f>IFERROR(IRR(B103:L103),NA())</f>
        <v>2.5884110290307416</v>
      </c>
    </row>
    <row r="106" spans="1:12">
      <c r="A106" t="s">
        <v>41</v>
      </c>
      <c r="B106" s="4">
        <v>0.9</v>
      </c>
    </row>
    <row r="107" spans="1:12">
      <c r="A107" t="s">
        <v>61</v>
      </c>
      <c r="B107" s="3">
        <f>$B$12*(1-B106)</f>
        <v>4999.9999999999991</v>
      </c>
    </row>
    <row r="108" spans="1:12">
      <c r="A108" s="4" t="s">
        <v>62</v>
      </c>
      <c r="B108" s="3">
        <f>-B107</f>
        <v>-4999.9999999999991</v>
      </c>
      <c r="C108" s="3">
        <f>$C$21</f>
        <v>19565.399578947374</v>
      </c>
      <c r="D108" s="3">
        <f>$D$21</f>
        <v>19565.399578947374</v>
      </c>
      <c r="E108" s="3">
        <f>$E$21</f>
        <v>19565.399578947374</v>
      </c>
      <c r="F108" s="3">
        <f>$F$21</f>
        <v>19565.399578947374</v>
      </c>
      <c r="G108" s="3">
        <f>$G$21</f>
        <v>-15434.600421052623</v>
      </c>
      <c r="H108" s="3">
        <f>$H$21</f>
        <v>19565.399578947374</v>
      </c>
      <c r="I108" s="3">
        <f>$I$21</f>
        <v>19565.399578947374</v>
      </c>
      <c r="J108" s="3">
        <f>$J$21</f>
        <v>19565.399578947374</v>
      </c>
      <c r="K108" s="3">
        <f>$K$21</f>
        <v>19565.399578947374</v>
      </c>
      <c r="L108" s="3">
        <f>$L$21</f>
        <v>19565.399578947374</v>
      </c>
    </row>
    <row r="109" spans="1:12">
      <c r="A109" s="4" t="s">
        <v>25</v>
      </c>
      <c r="B109" s="4">
        <f>IFERROR(IRR(B108:L108),NA())</f>
        <v>3.9034402253804723</v>
      </c>
    </row>
    <row r="111" spans="1:12">
      <c r="A111" t="s">
        <v>41</v>
      </c>
      <c r="B111" s="4">
        <v>0.95</v>
      </c>
    </row>
    <row r="112" spans="1:12">
      <c r="A112" t="s">
        <v>61</v>
      </c>
      <c r="B112" s="3">
        <f>$B$12*(1-B111)</f>
        <v>2500.0000000000023</v>
      </c>
    </row>
    <row r="113" spans="1:20">
      <c r="A113" s="4" t="s">
        <v>62</v>
      </c>
      <c r="B113" s="3">
        <f>-B112</f>
        <v>-2500.0000000000023</v>
      </c>
      <c r="C113" s="3">
        <f>$C$21</f>
        <v>19565.399578947374</v>
      </c>
      <c r="D113" s="3">
        <f>$D$21</f>
        <v>19565.399578947374</v>
      </c>
      <c r="E113" s="3">
        <f>$E$21</f>
        <v>19565.399578947374</v>
      </c>
      <c r="F113" s="3">
        <f>$F$21</f>
        <v>19565.399578947374</v>
      </c>
      <c r="G113" s="3">
        <f>$G$21</f>
        <v>-15434.600421052623</v>
      </c>
      <c r="H113" s="3">
        <f>$H$21</f>
        <v>19565.399578947374</v>
      </c>
      <c r="I113" s="3">
        <f>$I$21</f>
        <v>19565.399578947374</v>
      </c>
      <c r="J113" s="3">
        <f>$J$21</f>
        <v>19565.399578947374</v>
      </c>
      <c r="K113" s="3">
        <f>$K$21</f>
        <v>19565.399578947374</v>
      </c>
      <c r="L113" s="3">
        <f>$L$21</f>
        <v>19565.399578947374</v>
      </c>
    </row>
    <row r="114" spans="1:20">
      <c r="A114" s="4" t="s">
        <v>25</v>
      </c>
      <c r="B114" s="4">
        <f>IFERROR(IRR(B113:L113),NA())</f>
        <v>7.8241124040489733</v>
      </c>
    </row>
    <row r="116" spans="1:20">
      <c r="A116" t="s">
        <v>41</v>
      </c>
      <c r="B116" s="4">
        <v>1</v>
      </c>
    </row>
    <row r="117" spans="1:20">
      <c r="A117" t="s">
        <v>61</v>
      </c>
      <c r="B117" s="3">
        <f>$B$12*(1-B116)</f>
        <v>0</v>
      </c>
    </row>
    <row r="118" spans="1:20">
      <c r="A118" s="4" t="s">
        <v>62</v>
      </c>
      <c r="B118" s="3">
        <f>-B117</f>
        <v>0</v>
      </c>
      <c r="C118" s="3">
        <f>$C$21</f>
        <v>19565.399578947374</v>
      </c>
      <c r="D118" s="3">
        <f>$D$21</f>
        <v>19565.399578947374</v>
      </c>
      <c r="E118" s="3">
        <f>$E$21</f>
        <v>19565.399578947374</v>
      </c>
      <c r="F118" s="3">
        <f>$F$21</f>
        <v>19565.399578947374</v>
      </c>
      <c r="G118" s="3">
        <f>$G$21</f>
        <v>-15434.600421052623</v>
      </c>
      <c r="H118" s="3">
        <f>$H$21</f>
        <v>19565.399578947374</v>
      </c>
      <c r="I118" s="3">
        <f>$I$21</f>
        <v>19565.399578947374</v>
      </c>
      <c r="J118" s="3">
        <f>$J$21</f>
        <v>19565.399578947374</v>
      </c>
      <c r="K118" s="3">
        <f>$K$21</f>
        <v>19565.399578947374</v>
      </c>
      <c r="L118" s="3">
        <f>$L$21</f>
        <v>19565.399578947374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63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>
        <f>B29</f>
        <v>0.35310545621163714</v>
      </c>
      <c r="C124" s="4">
        <f>B34</f>
        <v>0.37932499384370355</v>
      </c>
      <c r="D124" s="4">
        <f>B39</f>
        <v>0.40879334838185089</v>
      </c>
      <c r="E124" s="4">
        <f>B44</f>
        <v>0.4421894178640291</v>
      </c>
      <c r="F124" s="4">
        <f>B49</f>
        <v>0.48039022203467985</v>
      </c>
      <c r="G124" s="4">
        <f>B54</f>
        <v>0.52454587028508448</v>
      </c>
      <c r="H124" s="4">
        <f>B59</f>
        <v>0.57619038114050314</v>
      </c>
      <c r="I124" s="4">
        <f>B64</f>
        <v>0.63741015563250336</v>
      </c>
      <c r="J124" s="4">
        <f>B69</f>
        <v>0.71110906650308836</v>
      </c>
      <c r="K124" s="4">
        <f>B74</f>
        <v>0.80144373311879158</v>
      </c>
      <c r="L124" s="4">
        <f>B79</f>
        <v>0.91457691907377825</v>
      </c>
      <c r="M124" s="4">
        <f>B84</f>
        <v>1.0600686792615694</v>
      </c>
      <c r="N124" s="4">
        <f>B89</f>
        <v>1.2536568244743087</v>
      </c>
      <c r="O124" s="4">
        <f>B94</f>
        <v>1.5233910174631347</v>
      </c>
      <c r="P124" s="4">
        <f>B99</f>
        <v>1.9250303994215496</v>
      </c>
      <c r="Q124" s="4">
        <f>B104</f>
        <v>2.5884110290307416</v>
      </c>
      <c r="R124" s="4">
        <f>B109</f>
        <v>3.9034402253804723</v>
      </c>
      <c r="S124" s="4">
        <f>B114</f>
        <v>7.8241124040489733</v>
      </c>
      <c r="T124" s="4" t="e">
        <f>B119</f>
        <v>#N/A</v>
      </c>
    </row>
    <row r="125" spans="1:20">
      <c r="A125" t="s">
        <v>64</v>
      </c>
      <c r="B125" s="4" t="e">
        <f>LOOKUP('IRR inputs &amp; outputs'!B18, B124:P124, B123:P123)</f>
        <v>#N/A</v>
      </c>
    </row>
    <row r="126" spans="1:20">
      <c r="A126" t="s">
        <v>65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F789D-A7B3-4BD4-B2C9-FDAC62529B46}">
  <dimension ref="A1:T126"/>
  <sheetViews>
    <sheetView workbookViewId="0">
      <selection activeCell="A17" sqref="A17:L18"/>
    </sheetView>
  </sheetViews>
  <sheetFormatPr defaultRowHeight="14.25"/>
  <cols>
    <col min="1" max="1" width="14.7109375" bestFit="1" customWidth="1"/>
    <col min="2" max="2" width="13.85546875" customWidth="1"/>
  </cols>
  <sheetData>
    <row r="1" spans="1:15">
      <c r="A1" s="1" t="s">
        <v>24</v>
      </c>
      <c r="B1" s="28">
        <v>0.22500000000000001</v>
      </c>
    </row>
    <row r="2" spans="1:15">
      <c r="A2" t="s">
        <v>44</v>
      </c>
      <c r="B2">
        <f>24*365</f>
        <v>8760</v>
      </c>
    </row>
    <row r="3" spans="1:15">
      <c r="A3" t="s">
        <v>45</v>
      </c>
      <c r="B3">
        <f>B2*B1*'IRR inputs &amp; outputs'!B2*'IRR inputs &amp; outputs'!B3*'IRR inputs &amp; outputs'!$B$7</f>
        <v>97761.600000000006</v>
      </c>
      <c r="C3" t="s">
        <v>46</v>
      </c>
    </row>
    <row r="5" spans="1:15">
      <c r="A5" s="1" t="s">
        <v>47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48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49</v>
      </c>
      <c r="B7" s="2"/>
      <c r="C7" s="2">
        <f>$B$3*'IRR inputs &amp; outputs'!$B$13</f>
        <v>53768.880000000005</v>
      </c>
      <c r="D7" s="2">
        <f>$B$3*'IRR inputs &amp; outputs'!$B$13</f>
        <v>53768.880000000005</v>
      </c>
      <c r="E7" s="2">
        <f>$B$3*'IRR inputs &amp; outputs'!$B$13</f>
        <v>53768.880000000005</v>
      </c>
      <c r="F7" s="2">
        <f>$B$3*'IRR inputs &amp; outputs'!$B$13</f>
        <v>53768.880000000005</v>
      </c>
      <c r="G7" s="2">
        <f>$B$3*'IRR inputs &amp; outputs'!$B$13</f>
        <v>53768.880000000005</v>
      </c>
      <c r="H7" s="2">
        <f>$B$3*'IRR inputs &amp; outputs'!$B$13</f>
        <v>53768.880000000005</v>
      </c>
      <c r="I7" s="2">
        <f>$B$3*'IRR inputs &amp; outputs'!$B$13</f>
        <v>53768.880000000005</v>
      </c>
      <c r="J7" s="2">
        <f>$B$3*'IRR inputs &amp; outputs'!$B$13</f>
        <v>53768.880000000005</v>
      </c>
      <c r="K7" s="2">
        <f>$B$3*'IRR inputs &amp; outputs'!$B$13</f>
        <v>53768.880000000005</v>
      </c>
      <c r="L7" s="2">
        <f>$B$3*'IRR inputs &amp; outputs'!$B$13</f>
        <v>53768.880000000005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50</v>
      </c>
      <c r="B9" s="2"/>
      <c r="C9" s="2">
        <f t="shared" ref="C9:L9" si="0">SUM(C7:C8)</f>
        <v>53768.880000000005</v>
      </c>
      <c r="D9" s="2">
        <f t="shared" si="0"/>
        <v>53768.880000000005</v>
      </c>
      <c r="E9" s="2">
        <f t="shared" si="0"/>
        <v>53768.880000000005</v>
      </c>
      <c r="F9" s="2">
        <f t="shared" si="0"/>
        <v>53768.880000000005</v>
      </c>
      <c r="G9" s="2">
        <f t="shared" si="0"/>
        <v>53768.880000000005</v>
      </c>
      <c r="H9" s="2">
        <f t="shared" si="0"/>
        <v>53768.880000000005</v>
      </c>
      <c r="I9" s="2">
        <f t="shared" si="0"/>
        <v>53768.880000000005</v>
      </c>
      <c r="J9" s="2">
        <f t="shared" si="0"/>
        <v>53768.880000000005</v>
      </c>
      <c r="K9" s="2">
        <f t="shared" si="0"/>
        <v>53768.880000000005</v>
      </c>
      <c r="L9" s="2">
        <f t="shared" si="0"/>
        <v>53768.880000000005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51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50000</v>
      </c>
      <c r="C12" s="2"/>
      <c r="D12" s="2"/>
      <c r="E12" s="2"/>
      <c r="F12" s="2"/>
      <c r="G12" s="2">
        <f>'IRR inputs &amp; outputs'!B15</f>
        <v>35000</v>
      </c>
      <c r="H12" s="2"/>
      <c r="I12" s="2"/>
      <c r="J12" s="2"/>
      <c r="K12" s="2"/>
      <c r="L12" s="2"/>
    </row>
    <row r="13" spans="1:15">
      <c r="A13" t="s">
        <v>52</v>
      </c>
      <c r="B13" s="2">
        <f>'IRR inputs &amp; outputs'!B16</f>
        <v>1000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53</v>
      </c>
      <c r="B14" s="2"/>
      <c r="C14" s="2">
        <f>'IRR inputs &amp; outputs'!$B$17</f>
        <v>5000</v>
      </c>
      <c r="D14" s="2">
        <f>'IRR inputs &amp; outputs'!$B$17</f>
        <v>5000</v>
      </c>
      <c r="E14" s="2">
        <f>'IRR inputs &amp; outputs'!$B$17</f>
        <v>5000</v>
      </c>
      <c r="F14" s="2">
        <f>'IRR inputs &amp; outputs'!$B$17</f>
        <v>5000</v>
      </c>
      <c r="G14" s="2">
        <f>'IRR inputs &amp; outputs'!$B$17</f>
        <v>5000</v>
      </c>
      <c r="H14" s="2">
        <f>'IRR inputs &amp; outputs'!$B$17</f>
        <v>5000</v>
      </c>
      <c r="I14" s="2">
        <f>'IRR inputs &amp; outputs'!$B$17</f>
        <v>5000</v>
      </c>
      <c r="J14" s="2">
        <f>'IRR inputs &amp; outputs'!$B$17</f>
        <v>5000</v>
      </c>
      <c r="K14" s="2">
        <f>'IRR inputs &amp; outputs'!$B$17</f>
        <v>5000</v>
      </c>
      <c r="L14" s="2">
        <f>'IRR inputs &amp; outputs'!$B$17</f>
        <v>5000</v>
      </c>
    </row>
    <row r="15" spans="1:15">
      <c r="A15" t="s">
        <v>54</v>
      </c>
      <c r="B15" s="2"/>
      <c r="C15" s="2">
        <f>'IRR inputs &amp; outputs'!B14</f>
        <v>750</v>
      </c>
      <c r="D15" s="2">
        <f>'IRR inputs &amp; outputs'!B14</f>
        <v>750</v>
      </c>
      <c r="E15" s="2">
        <f>'IRR inputs &amp; outputs'!B14</f>
        <v>750</v>
      </c>
      <c r="F15" s="2">
        <f>'IRR inputs &amp; outputs'!B14</f>
        <v>750</v>
      </c>
      <c r="G15" s="2">
        <f>'IRR inputs &amp; outputs'!B14</f>
        <v>750</v>
      </c>
      <c r="H15" s="2">
        <f>'IRR inputs &amp; outputs'!B14</f>
        <v>750</v>
      </c>
      <c r="I15" s="2">
        <f>'IRR inputs &amp; outputs'!B14</f>
        <v>750</v>
      </c>
      <c r="J15" s="2">
        <f>'IRR inputs &amp; outputs'!B14</f>
        <v>750</v>
      </c>
      <c r="K15" s="2">
        <f>'IRR inputs &amp; outputs'!B14</f>
        <v>750</v>
      </c>
      <c r="L15" s="2">
        <f>'IRR inputs &amp; outputs'!B14</f>
        <v>750</v>
      </c>
    </row>
    <row r="16" spans="1:15">
      <c r="A16" t="s">
        <v>55</v>
      </c>
      <c r="B16" s="2"/>
      <c r="C16" s="2">
        <f>(1/'IRR inputs &amp; outputs'!$B$8)*$B$3*'IRR inputs &amp; outputs'!$B$9+'IRR inputs &amp; outputs'!$B$10</f>
        <v>20581.389473684212</v>
      </c>
      <c r="D16" s="2">
        <f>(1/'IRR inputs &amp; outputs'!$B$8)*$B$3*'IRR inputs &amp; outputs'!$B$9+'IRR inputs &amp; outputs'!$B$10</f>
        <v>20581.389473684212</v>
      </c>
      <c r="E16" s="2">
        <f>(1/'IRR inputs &amp; outputs'!$B$8)*$B$3*'IRR inputs &amp; outputs'!$B$9+'IRR inputs &amp; outputs'!$B$10</f>
        <v>20581.389473684212</v>
      </c>
      <c r="F16" s="2">
        <f>(1/'IRR inputs &amp; outputs'!$B$8)*$B$3*'IRR inputs &amp; outputs'!$B$9+'IRR inputs &amp; outputs'!$B$10</f>
        <v>20581.389473684212</v>
      </c>
      <c r="G16" s="2">
        <f>(1/'IRR inputs &amp; outputs'!$B$8)*$B$3*'IRR inputs &amp; outputs'!$B$9+'IRR inputs &amp; outputs'!$B$10</f>
        <v>20581.389473684212</v>
      </c>
      <c r="H16" s="2">
        <f>(1/'IRR inputs &amp; outputs'!$B$8)*$B$3*'IRR inputs &amp; outputs'!$B$9+'IRR inputs &amp; outputs'!$B$10</f>
        <v>20581.389473684212</v>
      </c>
      <c r="I16" s="2">
        <f>(1/'IRR inputs &amp; outputs'!$B$8)*$B$3*'IRR inputs &amp; outputs'!$B$9+'IRR inputs &amp; outputs'!$B$10</f>
        <v>20581.389473684212</v>
      </c>
      <c r="J16" s="2">
        <f>(1/'IRR inputs &amp; outputs'!$B$8)*$B$3*'IRR inputs &amp; outputs'!$B$9+'IRR inputs &amp; outputs'!$B$10</f>
        <v>20581.389473684212</v>
      </c>
      <c r="K16" s="2">
        <f>(1/'IRR inputs &amp; outputs'!$B$8)*$B$3*'IRR inputs &amp; outputs'!$B$9+'IRR inputs &amp; outputs'!$B$10</f>
        <v>20581.389473684212</v>
      </c>
      <c r="L16" s="2">
        <f>(1/'IRR inputs &amp; outputs'!$B$8)*$B$3*'IRR inputs &amp; outputs'!$B$9+'IRR inputs &amp; outputs'!$B$10</f>
        <v>20581.389473684212</v>
      </c>
    </row>
    <row r="17" spans="1:12">
      <c r="A17" t="s">
        <v>56</v>
      </c>
      <c r="B17" s="2"/>
      <c r="C17" s="46">
        <f>'IRR inputs &amp; outputs'!$B$12</f>
        <v>600</v>
      </c>
      <c r="D17" s="2">
        <f>'IRR inputs &amp; outputs'!$B$12</f>
        <v>600</v>
      </c>
      <c r="E17" s="2">
        <f>'IRR inputs &amp; outputs'!$B$12</f>
        <v>600</v>
      </c>
      <c r="F17" s="2">
        <f>'IRR inputs &amp; outputs'!$B$12</f>
        <v>600</v>
      </c>
      <c r="G17" s="2">
        <f>'IRR inputs &amp; outputs'!$B$12</f>
        <v>600</v>
      </c>
      <c r="H17" s="2">
        <f>'IRR inputs &amp; outputs'!$B$12</f>
        <v>600</v>
      </c>
      <c r="I17" s="2">
        <f>'IRR inputs &amp; outputs'!$B$12</f>
        <v>600</v>
      </c>
      <c r="J17" s="2">
        <f>'IRR inputs &amp; outputs'!$B$12</f>
        <v>600</v>
      </c>
      <c r="K17" s="2">
        <f>'IRR inputs &amp; outputs'!$B$12</f>
        <v>600</v>
      </c>
      <c r="L17" s="2">
        <f>'IRR inputs &amp; outputs'!$B$12</f>
        <v>600</v>
      </c>
    </row>
    <row r="18" spans="1:12">
      <c r="A18" t="s">
        <v>57</v>
      </c>
      <c r="B18" s="2"/>
      <c r="C18" s="2">
        <f>$B$3*'IRR inputs &amp; outputs'!$B$11*'IRR inputs &amp; outputs'!$B$13</f>
        <v>4032.6660000000002</v>
      </c>
      <c r="D18" s="2">
        <f>$B$3*'IRR inputs &amp; outputs'!$B$11*'IRR inputs &amp; outputs'!$B$13</f>
        <v>4032.6660000000002</v>
      </c>
      <c r="E18" s="2">
        <f>$B$3*'IRR inputs &amp; outputs'!$B$11*'IRR inputs &amp; outputs'!$B$13</f>
        <v>4032.6660000000002</v>
      </c>
      <c r="F18" s="2">
        <f>$B$3*'IRR inputs &amp; outputs'!$B$11*'IRR inputs &amp; outputs'!$B$13</f>
        <v>4032.6660000000002</v>
      </c>
      <c r="G18" s="2">
        <f>$B$3*'IRR inputs &amp; outputs'!$B$11*'IRR inputs &amp; outputs'!$B$13</f>
        <v>4032.6660000000002</v>
      </c>
      <c r="H18" s="2">
        <f>$B$3*'IRR inputs &amp; outputs'!$B$11*'IRR inputs &amp; outputs'!$B$13</f>
        <v>4032.6660000000002</v>
      </c>
      <c r="I18" s="2">
        <f>$B$3*'IRR inputs &amp; outputs'!$B$11*'IRR inputs &amp; outputs'!$B$13</f>
        <v>4032.6660000000002</v>
      </c>
      <c r="J18" s="2">
        <f>$B$3*'IRR inputs &amp; outputs'!$B$11*'IRR inputs &amp; outputs'!$B$13</f>
        <v>4032.6660000000002</v>
      </c>
      <c r="K18" s="2">
        <f>$B$3*'IRR inputs &amp; outputs'!$B$11*'IRR inputs &amp; outputs'!$B$13</f>
        <v>4032.6660000000002</v>
      </c>
      <c r="L18" s="2">
        <f>$B$3*'IRR inputs &amp; outputs'!$B$11*'IRR inputs &amp; outputs'!$B$13</f>
        <v>4032.6660000000002</v>
      </c>
    </row>
    <row r="19" spans="1:12">
      <c r="A19" t="s">
        <v>58</v>
      </c>
      <c r="B19" s="3">
        <f t="shared" ref="B19:L19" si="1">SUM(B12:B18)</f>
        <v>51000</v>
      </c>
      <c r="C19" s="3">
        <f t="shared" si="1"/>
        <v>30964.055473684213</v>
      </c>
      <c r="D19" s="3">
        <f t="shared" si="1"/>
        <v>30964.055473684213</v>
      </c>
      <c r="E19" s="3">
        <f t="shared" si="1"/>
        <v>30964.055473684213</v>
      </c>
      <c r="F19" s="3">
        <f t="shared" si="1"/>
        <v>30964.055473684213</v>
      </c>
      <c r="G19" s="3">
        <f t="shared" si="1"/>
        <v>65964.055473684217</v>
      </c>
      <c r="H19" s="3">
        <f t="shared" si="1"/>
        <v>30964.055473684213</v>
      </c>
      <c r="I19" s="3">
        <f t="shared" si="1"/>
        <v>30964.055473684213</v>
      </c>
      <c r="J19" s="3">
        <f t="shared" si="1"/>
        <v>30964.055473684213</v>
      </c>
      <c r="K19" s="3">
        <f t="shared" si="1"/>
        <v>30964.055473684213</v>
      </c>
      <c r="L19" s="3">
        <f t="shared" si="1"/>
        <v>30964.055473684213</v>
      </c>
    </row>
    <row r="21" spans="1:12">
      <c r="A21" t="s">
        <v>59</v>
      </c>
      <c r="B21" s="3">
        <f t="shared" ref="B21:L21" si="2">B9-B19</f>
        <v>-51000</v>
      </c>
      <c r="C21" s="3">
        <f t="shared" si="2"/>
        <v>22804.824526315791</v>
      </c>
      <c r="D21" s="3">
        <f t="shared" si="2"/>
        <v>22804.824526315791</v>
      </c>
      <c r="E21" s="3">
        <f t="shared" si="2"/>
        <v>22804.824526315791</v>
      </c>
      <c r="F21" s="3">
        <f t="shared" si="2"/>
        <v>22804.824526315791</v>
      </c>
      <c r="G21" s="3">
        <f t="shared" si="2"/>
        <v>-12195.175473684212</v>
      </c>
      <c r="H21" s="3">
        <f t="shared" si="2"/>
        <v>22804.824526315791</v>
      </c>
      <c r="I21" s="3">
        <f t="shared" si="2"/>
        <v>22804.824526315791</v>
      </c>
      <c r="J21" s="3">
        <f t="shared" si="2"/>
        <v>22804.824526315791</v>
      </c>
      <c r="K21" s="3">
        <f t="shared" si="2"/>
        <v>22804.824526315791</v>
      </c>
      <c r="L21" s="3">
        <f t="shared" si="2"/>
        <v>22804.824526315791</v>
      </c>
    </row>
    <row r="23" spans="1:12">
      <c r="A23" t="s">
        <v>25</v>
      </c>
      <c r="B23" s="4">
        <f>IFERROR(IRR(B21:L21),NA())</f>
        <v>0.37657059887914834</v>
      </c>
    </row>
    <row r="25" spans="1:12">
      <c r="A25" s="1" t="s">
        <v>60</v>
      </c>
    </row>
    <row r="26" spans="1:12">
      <c r="A26" t="s">
        <v>41</v>
      </c>
      <c r="B26" s="4">
        <v>0.1</v>
      </c>
    </row>
    <row r="27" spans="1:12">
      <c r="A27" t="s">
        <v>61</v>
      </c>
      <c r="B27" s="3">
        <f>$B$12*(1-B26)</f>
        <v>45000</v>
      </c>
    </row>
    <row r="28" spans="1:12">
      <c r="A28" s="4" t="s">
        <v>62</v>
      </c>
      <c r="B28" s="3">
        <f>-B27</f>
        <v>-45000</v>
      </c>
      <c r="C28" s="3">
        <f>$C$21</f>
        <v>22804.824526315791</v>
      </c>
      <c r="D28" s="3">
        <f>$D$21</f>
        <v>22804.824526315791</v>
      </c>
      <c r="E28" s="3">
        <f>$E$21</f>
        <v>22804.824526315791</v>
      </c>
      <c r="F28" s="3">
        <f>$F$21</f>
        <v>22804.824526315791</v>
      </c>
      <c r="G28" s="3">
        <f>$G$21</f>
        <v>-12195.175473684212</v>
      </c>
      <c r="H28" s="3">
        <f>$H$21</f>
        <v>22804.824526315791</v>
      </c>
      <c r="I28" s="3">
        <f>$I$21</f>
        <v>22804.824526315791</v>
      </c>
      <c r="J28" s="3">
        <f>$J$21</f>
        <v>22804.824526315791</v>
      </c>
      <c r="K28" s="3">
        <f>$K$21</f>
        <v>22804.824526315791</v>
      </c>
      <c r="L28" s="3">
        <f>$L$21</f>
        <v>22804.824526315791</v>
      </c>
    </row>
    <row r="29" spans="1:12">
      <c r="A29" s="4" t="s">
        <v>25</v>
      </c>
      <c r="B29" s="4">
        <f>IFERROR(IRR(B28:L28),NA())</f>
        <v>0.43796063878591251</v>
      </c>
    </row>
    <row r="30" spans="1:12">
      <c r="A30" s="4"/>
      <c r="B30" s="3"/>
    </row>
    <row r="31" spans="1:12">
      <c r="A31" t="s">
        <v>41</v>
      </c>
      <c r="B31" s="4">
        <v>0.15</v>
      </c>
    </row>
    <row r="32" spans="1:12">
      <c r="A32" t="s">
        <v>61</v>
      </c>
      <c r="B32" s="3">
        <f>$B$12*(1-B31)</f>
        <v>42500</v>
      </c>
    </row>
    <row r="33" spans="1:12">
      <c r="A33" s="4" t="s">
        <v>62</v>
      </c>
      <c r="B33" s="3">
        <f>-B32</f>
        <v>-42500</v>
      </c>
      <c r="C33" s="3">
        <f>$C$21</f>
        <v>22804.824526315791</v>
      </c>
      <c r="D33" s="3">
        <f>$D$21</f>
        <v>22804.824526315791</v>
      </c>
      <c r="E33" s="3">
        <f>$E$21</f>
        <v>22804.824526315791</v>
      </c>
      <c r="F33" s="3">
        <f>$F$21</f>
        <v>22804.824526315791</v>
      </c>
      <c r="G33" s="3">
        <f>$G$21</f>
        <v>-12195.175473684212</v>
      </c>
      <c r="H33" s="3">
        <f>$H$21</f>
        <v>22804.824526315791</v>
      </c>
      <c r="I33" s="3">
        <f>$I$21</f>
        <v>22804.824526315791</v>
      </c>
      <c r="J33" s="3">
        <f>$J$21</f>
        <v>22804.824526315791</v>
      </c>
      <c r="K33" s="3">
        <f>$K$21</f>
        <v>22804.824526315791</v>
      </c>
      <c r="L33" s="3">
        <f>$L$21</f>
        <v>22804.824526315791</v>
      </c>
    </row>
    <row r="34" spans="1:12">
      <c r="A34" s="4" t="s">
        <v>25</v>
      </c>
      <c r="B34" s="4">
        <f>IFERROR(IRR(B33:L33),NA())</f>
        <v>0.46859722689923955</v>
      </c>
    </row>
    <row r="35" spans="1:12">
      <c r="A35" s="4"/>
      <c r="B35" s="3"/>
    </row>
    <row r="36" spans="1:12">
      <c r="A36" t="s">
        <v>41</v>
      </c>
      <c r="B36" s="4">
        <v>0.2</v>
      </c>
    </row>
    <row r="37" spans="1:12">
      <c r="A37" t="s">
        <v>61</v>
      </c>
      <c r="B37" s="3">
        <f>$B$12*(1-B36)</f>
        <v>40000</v>
      </c>
    </row>
    <row r="38" spans="1:12">
      <c r="A38" s="4" t="s">
        <v>62</v>
      </c>
      <c r="B38" s="3">
        <f>-B37</f>
        <v>-40000</v>
      </c>
      <c r="C38" s="3">
        <f>$C$21</f>
        <v>22804.824526315791</v>
      </c>
      <c r="D38" s="3">
        <f>$D$21</f>
        <v>22804.824526315791</v>
      </c>
      <c r="E38" s="3">
        <f>$E$21</f>
        <v>22804.824526315791</v>
      </c>
      <c r="F38" s="3">
        <f>$F$21</f>
        <v>22804.824526315791</v>
      </c>
      <c r="G38" s="3">
        <f>$G$21</f>
        <v>-12195.175473684212</v>
      </c>
      <c r="H38" s="3">
        <f>$H$21</f>
        <v>22804.824526315791</v>
      </c>
      <c r="I38" s="3">
        <f>$I$21</f>
        <v>22804.824526315791</v>
      </c>
      <c r="J38" s="3">
        <f>$J$21</f>
        <v>22804.824526315791</v>
      </c>
      <c r="K38" s="3">
        <f>$K$21</f>
        <v>22804.824526315791</v>
      </c>
      <c r="L38" s="3">
        <f>$L$21</f>
        <v>22804.824526315791</v>
      </c>
    </row>
    <row r="39" spans="1:12">
      <c r="A39" s="4" t="s">
        <v>25</v>
      </c>
      <c r="B39" s="4">
        <f>IFERROR(IRR(B38:L38),NA())</f>
        <v>0.50305439058547674</v>
      </c>
    </row>
    <row r="41" spans="1:12">
      <c r="A41" t="s">
        <v>41</v>
      </c>
      <c r="B41" s="4">
        <v>0.25</v>
      </c>
    </row>
    <row r="42" spans="1:12">
      <c r="A42" t="s">
        <v>61</v>
      </c>
      <c r="B42" s="3">
        <f>$B$12*(1-B41)</f>
        <v>37500</v>
      </c>
    </row>
    <row r="43" spans="1:12">
      <c r="A43" s="4" t="s">
        <v>62</v>
      </c>
      <c r="B43" s="3">
        <f>-B42</f>
        <v>-37500</v>
      </c>
      <c r="C43" s="3">
        <f>$C$21</f>
        <v>22804.824526315791</v>
      </c>
      <c r="D43" s="3">
        <f>$D$21</f>
        <v>22804.824526315791</v>
      </c>
      <c r="E43" s="3">
        <f>$E$21</f>
        <v>22804.824526315791</v>
      </c>
      <c r="F43" s="3">
        <f>$F$21</f>
        <v>22804.824526315791</v>
      </c>
      <c r="G43" s="3">
        <f>$G$21</f>
        <v>-12195.175473684212</v>
      </c>
      <c r="H43" s="3">
        <f>$H$21</f>
        <v>22804.824526315791</v>
      </c>
      <c r="I43" s="3">
        <f>$I$21</f>
        <v>22804.824526315791</v>
      </c>
      <c r="J43" s="3">
        <f>$J$21</f>
        <v>22804.824526315791</v>
      </c>
      <c r="K43" s="3">
        <f>$K$21</f>
        <v>22804.824526315791</v>
      </c>
      <c r="L43" s="3">
        <f>$L$21</f>
        <v>22804.824526315791</v>
      </c>
    </row>
    <row r="44" spans="1:12">
      <c r="A44" s="4" t="s">
        <v>25</v>
      </c>
      <c r="B44" s="4">
        <f>IFERROR(IRR(B43:L43),NA())</f>
        <v>0.54211838387260269</v>
      </c>
    </row>
    <row r="46" spans="1:12">
      <c r="A46" t="s">
        <v>41</v>
      </c>
      <c r="B46" s="4">
        <v>0.3</v>
      </c>
    </row>
    <row r="47" spans="1:12">
      <c r="A47" t="s">
        <v>61</v>
      </c>
      <c r="B47" s="3">
        <f>$B$12*(1-B46)</f>
        <v>35000</v>
      </c>
    </row>
    <row r="48" spans="1:12">
      <c r="A48" s="4" t="s">
        <v>62</v>
      </c>
      <c r="B48" s="3">
        <f>-B47</f>
        <v>-35000</v>
      </c>
      <c r="C48" s="3">
        <f>$C$21</f>
        <v>22804.824526315791</v>
      </c>
      <c r="D48" s="3">
        <f>$D$21</f>
        <v>22804.824526315791</v>
      </c>
      <c r="E48" s="3">
        <f>$E$21</f>
        <v>22804.824526315791</v>
      </c>
      <c r="F48" s="3">
        <f>$F$21</f>
        <v>22804.824526315791</v>
      </c>
      <c r="G48" s="3">
        <f>$G$21</f>
        <v>-12195.175473684212</v>
      </c>
      <c r="H48" s="3">
        <f>$H$21</f>
        <v>22804.824526315791</v>
      </c>
      <c r="I48" s="3">
        <f>$I$21</f>
        <v>22804.824526315791</v>
      </c>
      <c r="J48" s="3">
        <f>$J$21</f>
        <v>22804.824526315791</v>
      </c>
      <c r="K48" s="3">
        <f>$K$21</f>
        <v>22804.824526315791</v>
      </c>
      <c r="L48" s="3">
        <f>$L$21</f>
        <v>22804.824526315791</v>
      </c>
    </row>
    <row r="49" spans="1:12">
      <c r="A49" s="4" t="s">
        <v>25</v>
      </c>
      <c r="B49" s="4">
        <f>IFERROR(IRR(B48:L48),NA())</f>
        <v>0.58680039854125798</v>
      </c>
    </row>
    <row r="51" spans="1:12">
      <c r="A51" t="s">
        <v>41</v>
      </c>
      <c r="B51" s="4">
        <v>0.35</v>
      </c>
    </row>
    <row r="52" spans="1:12">
      <c r="A52" t="s">
        <v>61</v>
      </c>
      <c r="B52" s="3">
        <f>$B$12*(1-B51)</f>
        <v>32500</v>
      </c>
    </row>
    <row r="53" spans="1:12">
      <c r="A53" s="4" t="s">
        <v>62</v>
      </c>
      <c r="B53" s="3">
        <f>-B52</f>
        <v>-32500</v>
      </c>
      <c r="C53" s="3">
        <f>$C$21</f>
        <v>22804.824526315791</v>
      </c>
      <c r="D53" s="3">
        <f>$D$21</f>
        <v>22804.824526315791</v>
      </c>
      <c r="E53" s="3">
        <f>$E$21</f>
        <v>22804.824526315791</v>
      </c>
      <c r="F53" s="3">
        <f>$F$21</f>
        <v>22804.824526315791</v>
      </c>
      <c r="G53" s="3">
        <f>$G$21</f>
        <v>-12195.175473684212</v>
      </c>
      <c r="H53" s="3">
        <f>$H$21</f>
        <v>22804.824526315791</v>
      </c>
      <c r="I53" s="3">
        <f>$I$21</f>
        <v>22804.824526315791</v>
      </c>
      <c r="J53" s="3">
        <f>$J$21</f>
        <v>22804.824526315791</v>
      </c>
      <c r="K53" s="3">
        <f>$K$21</f>
        <v>22804.824526315791</v>
      </c>
      <c r="L53" s="3">
        <f>$L$21</f>
        <v>22804.824526315791</v>
      </c>
    </row>
    <row r="54" spans="1:12">
      <c r="A54" s="4" t="s">
        <v>25</v>
      </c>
      <c r="B54" s="4">
        <f>IFERROR(IRR(B53:L53),NA())</f>
        <v>0.63842082645798515</v>
      </c>
    </row>
    <row r="56" spans="1:12">
      <c r="A56" t="s">
        <v>41</v>
      </c>
      <c r="B56" s="4">
        <v>0.4</v>
      </c>
    </row>
    <row r="57" spans="1:12">
      <c r="A57" t="s">
        <v>61</v>
      </c>
      <c r="B57" s="3">
        <f>$B$12*(1-B56)</f>
        <v>30000</v>
      </c>
    </row>
    <row r="58" spans="1:12">
      <c r="A58" s="4" t="s">
        <v>62</v>
      </c>
      <c r="B58" s="3">
        <f>-B57</f>
        <v>-30000</v>
      </c>
      <c r="C58" s="3">
        <f>$C$21</f>
        <v>22804.824526315791</v>
      </c>
      <c r="D58" s="3">
        <f>$D$21</f>
        <v>22804.824526315791</v>
      </c>
      <c r="E58" s="3">
        <f>$E$21</f>
        <v>22804.824526315791</v>
      </c>
      <c r="F58" s="3">
        <f>$F$21</f>
        <v>22804.824526315791</v>
      </c>
      <c r="G58" s="3">
        <f>$G$21</f>
        <v>-12195.175473684212</v>
      </c>
      <c r="H58" s="3">
        <f>$H$21</f>
        <v>22804.824526315791</v>
      </c>
      <c r="I58" s="3">
        <f>$I$21</f>
        <v>22804.824526315791</v>
      </c>
      <c r="J58" s="3">
        <f>$J$21</f>
        <v>22804.824526315791</v>
      </c>
      <c r="K58" s="3">
        <f>$K$21</f>
        <v>22804.824526315791</v>
      </c>
      <c r="L58" s="3">
        <f>$L$21</f>
        <v>22804.824526315791</v>
      </c>
    </row>
    <row r="59" spans="1:12">
      <c r="A59" s="4" t="s">
        <v>25</v>
      </c>
      <c r="B59" s="4">
        <f>IFERROR(IRR(B58:L58),NA())</f>
        <v>0.69873423295377957</v>
      </c>
    </row>
    <row r="61" spans="1:12">
      <c r="A61" t="s">
        <v>41</v>
      </c>
      <c r="B61" s="4">
        <v>0.45</v>
      </c>
    </row>
    <row r="62" spans="1:12">
      <c r="A62" t="s">
        <v>61</v>
      </c>
      <c r="B62" s="3">
        <f>$B$12*(1-B61)</f>
        <v>27500.000000000004</v>
      </c>
    </row>
    <row r="63" spans="1:12">
      <c r="A63" s="4" t="s">
        <v>62</v>
      </c>
      <c r="B63" s="3">
        <f>-B62</f>
        <v>-27500.000000000004</v>
      </c>
      <c r="C63" s="3">
        <f>$C$21</f>
        <v>22804.824526315791</v>
      </c>
      <c r="D63" s="3">
        <f>$D$21</f>
        <v>22804.824526315791</v>
      </c>
      <c r="E63" s="3">
        <f>$E$21</f>
        <v>22804.824526315791</v>
      </c>
      <c r="F63" s="3">
        <f>$F$21</f>
        <v>22804.824526315791</v>
      </c>
      <c r="G63" s="3">
        <f>$G$21</f>
        <v>-12195.175473684212</v>
      </c>
      <c r="H63" s="3">
        <f>$H$21</f>
        <v>22804.824526315791</v>
      </c>
      <c r="I63" s="3">
        <f>$I$21</f>
        <v>22804.824526315791</v>
      </c>
      <c r="J63" s="3">
        <f>$J$21</f>
        <v>22804.824526315791</v>
      </c>
      <c r="K63" s="3">
        <f>$K$21</f>
        <v>22804.824526315791</v>
      </c>
      <c r="L63" s="3">
        <f>$L$21</f>
        <v>22804.824526315791</v>
      </c>
    </row>
    <row r="64" spans="1:12">
      <c r="A64" s="4" t="s">
        <v>25</v>
      </c>
      <c r="B64" s="4">
        <f>IFERROR(IRR(B63:L63),NA())</f>
        <v>0.77012046242123411</v>
      </c>
    </row>
    <row r="66" spans="1:12">
      <c r="A66" t="s">
        <v>41</v>
      </c>
      <c r="B66" s="4">
        <v>0.5</v>
      </c>
    </row>
    <row r="67" spans="1:12">
      <c r="A67" t="s">
        <v>61</v>
      </c>
      <c r="B67" s="3">
        <f>$B$12*(1-B66)</f>
        <v>25000</v>
      </c>
    </row>
    <row r="68" spans="1:12">
      <c r="A68" s="4" t="s">
        <v>62</v>
      </c>
      <c r="B68" s="3">
        <f>-B67</f>
        <v>-25000</v>
      </c>
      <c r="C68" s="3">
        <f>$C$21</f>
        <v>22804.824526315791</v>
      </c>
      <c r="D68" s="3">
        <f>$D$21</f>
        <v>22804.824526315791</v>
      </c>
      <c r="E68" s="3">
        <f>$E$21</f>
        <v>22804.824526315791</v>
      </c>
      <c r="F68" s="3">
        <f>$F$21</f>
        <v>22804.824526315791</v>
      </c>
      <c r="G68" s="3">
        <f>$G$21</f>
        <v>-12195.175473684212</v>
      </c>
      <c r="H68" s="3">
        <f>$H$21</f>
        <v>22804.824526315791</v>
      </c>
      <c r="I68" s="3">
        <f>$I$21</f>
        <v>22804.824526315791</v>
      </c>
      <c r="J68" s="3">
        <f>$J$21</f>
        <v>22804.824526315791</v>
      </c>
      <c r="K68" s="3">
        <f>$K$21</f>
        <v>22804.824526315791</v>
      </c>
      <c r="L68" s="3">
        <f>$L$21</f>
        <v>22804.824526315791</v>
      </c>
    </row>
    <row r="69" spans="1:12">
      <c r="A69" s="4" t="s">
        <v>25</v>
      </c>
      <c r="B69" s="4">
        <f>IFERROR(IRR(B68:L68),NA())</f>
        <v>0.85588771247738893</v>
      </c>
    </row>
    <row r="71" spans="1:12">
      <c r="A71" t="s">
        <v>41</v>
      </c>
      <c r="B71" s="4">
        <v>0.55000000000000004</v>
      </c>
    </row>
    <row r="72" spans="1:12">
      <c r="A72" t="s">
        <v>61</v>
      </c>
      <c r="B72" s="3">
        <f>$B$12*(1-B71)</f>
        <v>22499.999999999996</v>
      </c>
    </row>
    <row r="73" spans="1:12">
      <c r="A73" s="4" t="s">
        <v>62</v>
      </c>
      <c r="B73" s="3">
        <f>-B72</f>
        <v>-22499.999999999996</v>
      </c>
      <c r="C73" s="3">
        <f>$C$21</f>
        <v>22804.824526315791</v>
      </c>
      <c r="D73" s="3">
        <f>$D$21</f>
        <v>22804.824526315791</v>
      </c>
      <c r="E73" s="3">
        <f>$E$21</f>
        <v>22804.824526315791</v>
      </c>
      <c r="F73" s="3">
        <f>$F$21</f>
        <v>22804.824526315791</v>
      </c>
      <c r="G73" s="3">
        <f>$G$21</f>
        <v>-12195.175473684212</v>
      </c>
      <c r="H73" s="3">
        <f>$H$21</f>
        <v>22804.824526315791</v>
      </c>
      <c r="I73" s="3">
        <f>$I$21</f>
        <v>22804.824526315791</v>
      </c>
      <c r="J73" s="3">
        <f>$J$21</f>
        <v>22804.824526315791</v>
      </c>
      <c r="K73" s="3">
        <f>$K$21</f>
        <v>22804.824526315791</v>
      </c>
      <c r="L73" s="3">
        <f>$L$21</f>
        <v>22804.824526315791</v>
      </c>
    </row>
    <row r="74" spans="1:12">
      <c r="A74" s="4" t="s">
        <v>25</v>
      </c>
      <c r="B74" s="4">
        <f>IFERROR(IRR(B73:L73),NA())</f>
        <v>0.96077451679632686</v>
      </c>
    </row>
    <row r="76" spans="1:12">
      <c r="A76" t="s">
        <v>41</v>
      </c>
      <c r="B76" s="4">
        <v>0.6</v>
      </c>
    </row>
    <row r="77" spans="1:12">
      <c r="A77" t="s">
        <v>61</v>
      </c>
      <c r="B77" s="3">
        <f>$B$12*(1-B76)</f>
        <v>20000</v>
      </c>
    </row>
    <row r="78" spans="1:12">
      <c r="A78" s="4" t="s">
        <v>62</v>
      </c>
      <c r="B78" s="3">
        <f>-B77</f>
        <v>-20000</v>
      </c>
      <c r="C78" s="3">
        <f>$C$21</f>
        <v>22804.824526315791</v>
      </c>
      <c r="D78" s="3">
        <f>$D$21</f>
        <v>22804.824526315791</v>
      </c>
      <c r="E78" s="3">
        <f>$E$21</f>
        <v>22804.824526315791</v>
      </c>
      <c r="F78" s="3">
        <f>$F$21</f>
        <v>22804.824526315791</v>
      </c>
      <c r="G78" s="3">
        <f>$G$21</f>
        <v>-12195.175473684212</v>
      </c>
      <c r="H78" s="3">
        <f>$H$21</f>
        <v>22804.824526315791</v>
      </c>
      <c r="I78" s="3">
        <f>$I$21</f>
        <v>22804.824526315791</v>
      </c>
      <c r="J78" s="3">
        <f>$J$21</f>
        <v>22804.824526315791</v>
      </c>
      <c r="K78" s="3">
        <f>$K$21</f>
        <v>22804.824526315791</v>
      </c>
      <c r="L78" s="3">
        <f>$L$21</f>
        <v>22804.824526315791</v>
      </c>
    </row>
    <row r="79" spans="1:12">
      <c r="A79" s="4" t="s">
        <v>25</v>
      </c>
      <c r="B79" s="4">
        <f>IFERROR(IRR(B78:L78),NA())</f>
        <v>1.0918254157418943</v>
      </c>
    </row>
    <row r="81" spans="1:12">
      <c r="A81" t="s">
        <v>41</v>
      </c>
      <c r="B81" s="4">
        <v>0.65</v>
      </c>
    </row>
    <row r="82" spans="1:12">
      <c r="A82" t="s">
        <v>61</v>
      </c>
      <c r="B82" s="3">
        <f>$B$12*(1-B81)</f>
        <v>17500</v>
      </c>
    </row>
    <row r="83" spans="1:12">
      <c r="A83" s="4" t="s">
        <v>62</v>
      </c>
      <c r="B83" s="3">
        <f>-B82</f>
        <v>-17500</v>
      </c>
      <c r="C83" s="3">
        <f>$C$21</f>
        <v>22804.824526315791</v>
      </c>
      <c r="D83" s="3">
        <f>$D$21</f>
        <v>22804.824526315791</v>
      </c>
      <c r="E83" s="3">
        <f>$E$21</f>
        <v>22804.824526315791</v>
      </c>
      <c r="F83" s="3">
        <f>$F$21</f>
        <v>22804.824526315791</v>
      </c>
      <c r="G83" s="3">
        <f>$G$21</f>
        <v>-12195.175473684212</v>
      </c>
      <c r="H83" s="3">
        <f>$H$21</f>
        <v>22804.824526315791</v>
      </c>
      <c r="I83" s="3">
        <f>$I$21</f>
        <v>22804.824526315791</v>
      </c>
      <c r="J83" s="3">
        <f>$J$21</f>
        <v>22804.824526315791</v>
      </c>
      <c r="K83" s="3">
        <f>$K$21</f>
        <v>22804.824526315791</v>
      </c>
      <c r="L83" s="3">
        <f>$L$21</f>
        <v>22804.824526315791</v>
      </c>
    </row>
    <row r="84" spans="1:12">
      <c r="A84" s="4" t="s">
        <v>25</v>
      </c>
      <c r="B84" s="4">
        <f>IFERROR(IRR(B83:L83),NA())</f>
        <v>1.2600166308042642</v>
      </c>
    </row>
    <row r="86" spans="1:12">
      <c r="A86" t="s">
        <v>41</v>
      </c>
      <c r="B86" s="4">
        <v>0.7</v>
      </c>
    </row>
    <row r="87" spans="1:12">
      <c r="A87" t="s">
        <v>61</v>
      </c>
      <c r="B87" s="3">
        <f>$B$12*(1-B86)</f>
        <v>15000.000000000002</v>
      </c>
    </row>
    <row r="88" spans="1:12">
      <c r="A88" s="4" t="s">
        <v>62</v>
      </c>
      <c r="B88" s="3">
        <f>-B87</f>
        <v>-15000.000000000002</v>
      </c>
      <c r="C88" s="3">
        <f>$C$21</f>
        <v>22804.824526315791</v>
      </c>
      <c r="D88" s="3">
        <f>$D$21</f>
        <v>22804.824526315791</v>
      </c>
      <c r="E88" s="3">
        <f>$E$21</f>
        <v>22804.824526315791</v>
      </c>
      <c r="F88" s="3">
        <f>$F$21</f>
        <v>22804.824526315791</v>
      </c>
      <c r="G88" s="3">
        <f>$G$21</f>
        <v>-12195.175473684212</v>
      </c>
      <c r="H88" s="3">
        <f>$H$21</f>
        <v>22804.824526315791</v>
      </c>
      <c r="I88" s="3">
        <f>$I$21</f>
        <v>22804.824526315791</v>
      </c>
      <c r="J88" s="3">
        <f>$J$21</f>
        <v>22804.824526315791</v>
      </c>
      <c r="K88" s="3">
        <f>$K$21</f>
        <v>22804.824526315791</v>
      </c>
      <c r="L88" s="3">
        <f>$L$21</f>
        <v>22804.824526315791</v>
      </c>
    </row>
    <row r="89" spans="1:12">
      <c r="A89" s="4" t="s">
        <v>25</v>
      </c>
      <c r="B89" s="4">
        <f>IFERROR(IRR(B88:L88),NA())</f>
        <v>1.4835129568999923</v>
      </c>
    </row>
    <row r="91" spans="1:12">
      <c r="A91" t="s">
        <v>41</v>
      </c>
      <c r="B91" s="4">
        <v>0.75</v>
      </c>
    </row>
    <row r="92" spans="1:12">
      <c r="A92" t="s">
        <v>61</v>
      </c>
      <c r="B92" s="3">
        <f>$B$12*(1-B91)</f>
        <v>12500</v>
      </c>
    </row>
    <row r="93" spans="1:12">
      <c r="A93" s="4" t="s">
        <v>62</v>
      </c>
      <c r="B93" s="3">
        <f>-B92</f>
        <v>-12500</v>
      </c>
      <c r="C93" s="3">
        <f>$C$21</f>
        <v>22804.824526315791</v>
      </c>
      <c r="D93" s="3">
        <f>$D$21</f>
        <v>22804.824526315791</v>
      </c>
      <c r="E93" s="3">
        <f>$E$21</f>
        <v>22804.824526315791</v>
      </c>
      <c r="F93" s="3">
        <f>$F$21</f>
        <v>22804.824526315791</v>
      </c>
      <c r="G93" s="3">
        <f>$G$21</f>
        <v>-12195.175473684212</v>
      </c>
      <c r="H93" s="3">
        <f>$H$21</f>
        <v>22804.824526315791</v>
      </c>
      <c r="I93" s="3">
        <f>$I$21</f>
        <v>22804.824526315791</v>
      </c>
      <c r="J93" s="3">
        <f>$J$21</f>
        <v>22804.824526315791</v>
      </c>
      <c r="K93" s="3">
        <f>$K$21</f>
        <v>22804.824526315791</v>
      </c>
      <c r="L93" s="3">
        <f>$L$21</f>
        <v>22804.824526315791</v>
      </c>
    </row>
    <row r="94" spans="1:12">
      <c r="A94" s="4" t="s">
        <v>25</v>
      </c>
      <c r="B94" s="4">
        <f>IFERROR(IRR(B93:L93),NA())</f>
        <v>1.7948523929860767</v>
      </c>
    </row>
    <row r="96" spans="1:12">
      <c r="A96" t="s">
        <v>41</v>
      </c>
      <c r="B96" s="4">
        <v>0.8</v>
      </c>
    </row>
    <row r="97" spans="1:12">
      <c r="A97" t="s">
        <v>61</v>
      </c>
      <c r="B97" s="3">
        <f>$B$12*(1-B96)</f>
        <v>9999.9999999999982</v>
      </c>
    </row>
    <row r="98" spans="1:12">
      <c r="A98" s="4" t="s">
        <v>62</v>
      </c>
      <c r="B98" s="3">
        <f>-B97</f>
        <v>-9999.9999999999982</v>
      </c>
      <c r="C98" s="3">
        <f>$C$21</f>
        <v>22804.824526315791</v>
      </c>
      <c r="D98" s="3">
        <f>$D$21</f>
        <v>22804.824526315791</v>
      </c>
      <c r="E98" s="3">
        <f>$E$21</f>
        <v>22804.824526315791</v>
      </c>
      <c r="F98" s="3">
        <f>$F$21</f>
        <v>22804.824526315791</v>
      </c>
      <c r="G98" s="3">
        <f>$G$21</f>
        <v>-12195.175473684212</v>
      </c>
      <c r="H98" s="3">
        <f>$H$21</f>
        <v>22804.824526315791</v>
      </c>
      <c r="I98" s="3">
        <f>$I$21</f>
        <v>22804.824526315791</v>
      </c>
      <c r="J98" s="3">
        <f>$J$21</f>
        <v>22804.824526315791</v>
      </c>
      <c r="K98" s="3">
        <f>$K$21</f>
        <v>22804.824526315791</v>
      </c>
      <c r="L98" s="3">
        <f>$L$21</f>
        <v>22804.824526315791</v>
      </c>
    </row>
    <row r="99" spans="1:12">
      <c r="A99" s="4" t="s">
        <v>25</v>
      </c>
      <c r="B99" s="4">
        <f>IFERROR(IRR(B98:L98),NA())</f>
        <v>2.2589584625040069</v>
      </c>
    </row>
    <row r="101" spans="1:12">
      <c r="A101" t="s">
        <v>41</v>
      </c>
      <c r="B101" s="4">
        <v>0.85</v>
      </c>
    </row>
    <row r="102" spans="1:12">
      <c r="A102" t="s">
        <v>61</v>
      </c>
      <c r="B102" s="3">
        <f>$B$12*(1-B101)</f>
        <v>7500.0000000000009</v>
      </c>
    </row>
    <row r="103" spans="1:12">
      <c r="A103" s="4" t="s">
        <v>62</v>
      </c>
      <c r="B103" s="3">
        <f>-B102</f>
        <v>-7500.0000000000009</v>
      </c>
      <c r="C103" s="3">
        <f>$C$21</f>
        <v>22804.824526315791</v>
      </c>
      <c r="D103" s="3">
        <f>$D$21</f>
        <v>22804.824526315791</v>
      </c>
      <c r="E103" s="3">
        <f>$E$21</f>
        <v>22804.824526315791</v>
      </c>
      <c r="F103" s="3">
        <f>$F$21</f>
        <v>22804.824526315791</v>
      </c>
      <c r="G103" s="3">
        <f>$G$21</f>
        <v>-12195.175473684212</v>
      </c>
      <c r="H103" s="3">
        <f>$H$21</f>
        <v>22804.824526315791</v>
      </c>
      <c r="I103" s="3">
        <f>$I$21</f>
        <v>22804.824526315791</v>
      </c>
      <c r="J103" s="3">
        <f>$J$21</f>
        <v>22804.824526315791</v>
      </c>
      <c r="K103" s="3">
        <f>$K$21</f>
        <v>22804.824526315791</v>
      </c>
      <c r="L103" s="3">
        <f>$L$21</f>
        <v>22804.824526315791</v>
      </c>
    </row>
    <row r="104" spans="1:12">
      <c r="A104" s="4" t="s">
        <v>25</v>
      </c>
      <c r="B104" s="4">
        <f>IFERROR(IRR(B103:L103),NA())</f>
        <v>3.0273056509185654</v>
      </c>
    </row>
    <row r="106" spans="1:12">
      <c r="A106" t="s">
        <v>41</v>
      </c>
      <c r="B106" s="4">
        <v>0.9</v>
      </c>
    </row>
    <row r="107" spans="1:12">
      <c r="A107" t="s">
        <v>61</v>
      </c>
      <c r="B107" s="3">
        <f>$B$12*(1-B106)</f>
        <v>4999.9999999999991</v>
      </c>
    </row>
    <row r="108" spans="1:12">
      <c r="A108" s="4" t="s">
        <v>62</v>
      </c>
      <c r="B108" s="3">
        <f>-B107</f>
        <v>-4999.9999999999991</v>
      </c>
      <c r="C108" s="3">
        <f>$C$21</f>
        <v>22804.824526315791</v>
      </c>
      <c r="D108" s="3">
        <f>$D$21</f>
        <v>22804.824526315791</v>
      </c>
      <c r="E108" s="3">
        <f>$E$21</f>
        <v>22804.824526315791</v>
      </c>
      <c r="F108" s="3">
        <f>$F$21</f>
        <v>22804.824526315791</v>
      </c>
      <c r="G108" s="3">
        <f>$G$21</f>
        <v>-12195.175473684212</v>
      </c>
      <c r="H108" s="3">
        <f>$H$21</f>
        <v>22804.824526315791</v>
      </c>
      <c r="I108" s="3">
        <f>$I$21</f>
        <v>22804.824526315791</v>
      </c>
      <c r="J108" s="3">
        <f>$J$21</f>
        <v>22804.824526315791</v>
      </c>
      <c r="K108" s="3">
        <f>$K$21</f>
        <v>22804.824526315791</v>
      </c>
      <c r="L108" s="3">
        <f>$L$21</f>
        <v>22804.824526315791</v>
      </c>
    </row>
    <row r="109" spans="1:12">
      <c r="A109" s="4" t="s">
        <v>25</v>
      </c>
      <c r="B109" s="4">
        <f>IFERROR(IRR(B108:L108),NA())</f>
        <v>4.5549365811483389</v>
      </c>
    </row>
    <row r="111" spans="1:12">
      <c r="A111" t="s">
        <v>41</v>
      </c>
      <c r="B111" s="4">
        <v>0.95</v>
      </c>
    </row>
    <row r="112" spans="1:12">
      <c r="A112" t="s">
        <v>61</v>
      </c>
      <c r="B112" s="3">
        <f>$B$12*(1-B111)</f>
        <v>2500.0000000000023</v>
      </c>
    </row>
    <row r="113" spans="1:20">
      <c r="A113" s="4" t="s">
        <v>62</v>
      </c>
      <c r="B113" s="3">
        <f>-B112</f>
        <v>-2500.0000000000023</v>
      </c>
      <c r="C113" s="3">
        <f>$C$21</f>
        <v>22804.824526315791</v>
      </c>
      <c r="D113" s="3">
        <f>$D$21</f>
        <v>22804.824526315791</v>
      </c>
      <c r="E113" s="3">
        <f>$E$21</f>
        <v>22804.824526315791</v>
      </c>
      <c r="F113" s="3">
        <f>$F$21</f>
        <v>22804.824526315791</v>
      </c>
      <c r="G113" s="3">
        <f>$G$21</f>
        <v>-12195.175473684212</v>
      </c>
      <c r="H113" s="3">
        <f>$H$21</f>
        <v>22804.824526315791</v>
      </c>
      <c r="I113" s="3">
        <f>$I$21</f>
        <v>22804.824526315791</v>
      </c>
      <c r="J113" s="3">
        <f>$J$21</f>
        <v>22804.824526315791</v>
      </c>
      <c r="K113" s="3">
        <f>$K$21</f>
        <v>22804.824526315791</v>
      </c>
      <c r="L113" s="3">
        <f>$L$21</f>
        <v>22804.824526315791</v>
      </c>
    </row>
    <row r="114" spans="1:20">
      <c r="A114" s="4" t="s">
        <v>25</v>
      </c>
      <c r="B114" s="4">
        <f>IFERROR(IRR(B113:L113),NA())</f>
        <v>9.1207272714754737</v>
      </c>
    </row>
    <row r="116" spans="1:20">
      <c r="A116" t="s">
        <v>41</v>
      </c>
      <c r="B116" s="4">
        <v>1</v>
      </c>
    </row>
    <row r="117" spans="1:20">
      <c r="A117" t="s">
        <v>61</v>
      </c>
      <c r="B117" s="3">
        <f>$B$12*(1-B116)</f>
        <v>0</v>
      </c>
    </row>
    <row r="118" spans="1:20">
      <c r="A118" s="4" t="s">
        <v>62</v>
      </c>
      <c r="B118" s="3">
        <f>-B117</f>
        <v>0</v>
      </c>
      <c r="C118" s="3">
        <f>$C$21</f>
        <v>22804.824526315791</v>
      </c>
      <c r="D118" s="3">
        <f>$D$21</f>
        <v>22804.824526315791</v>
      </c>
      <c r="E118" s="3">
        <f>$E$21</f>
        <v>22804.824526315791</v>
      </c>
      <c r="F118" s="3">
        <f>$F$21</f>
        <v>22804.824526315791</v>
      </c>
      <c r="G118" s="3">
        <f>$G$21</f>
        <v>-12195.175473684212</v>
      </c>
      <c r="H118" s="3">
        <f>$H$21</f>
        <v>22804.824526315791</v>
      </c>
      <c r="I118" s="3">
        <f>$I$21</f>
        <v>22804.824526315791</v>
      </c>
      <c r="J118" s="3">
        <f>$J$21</f>
        <v>22804.824526315791</v>
      </c>
      <c r="K118" s="3">
        <f>$K$21</f>
        <v>22804.824526315791</v>
      </c>
      <c r="L118" s="3">
        <f>$L$21</f>
        <v>22804.824526315791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63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>
        <f>B29</f>
        <v>0.43796063878591251</v>
      </c>
      <c r="C124" s="4">
        <f>B34</f>
        <v>0.46859722689923955</v>
      </c>
      <c r="D124" s="4">
        <f>B39</f>
        <v>0.50305439058547674</v>
      </c>
      <c r="E124" s="4">
        <f>B44</f>
        <v>0.54211838387260269</v>
      </c>
      <c r="F124" s="4">
        <f>B49</f>
        <v>0.58680039854125798</v>
      </c>
      <c r="G124" s="4">
        <f>B54</f>
        <v>0.63842082645798515</v>
      </c>
      <c r="H124" s="4">
        <f>B59</f>
        <v>0.69873423295377957</v>
      </c>
      <c r="I124" s="4">
        <f>B64</f>
        <v>0.77012046242123411</v>
      </c>
      <c r="J124" s="4">
        <f>B69</f>
        <v>0.85588771247738893</v>
      </c>
      <c r="K124" s="4">
        <f>B74</f>
        <v>0.96077451679632686</v>
      </c>
      <c r="L124" s="4">
        <f>B79</f>
        <v>1.0918254157418943</v>
      </c>
      <c r="M124" s="4">
        <f>B84</f>
        <v>1.2600166308042642</v>
      </c>
      <c r="N124" s="4">
        <f>B89</f>
        <v>1.4835129568999923</v>
      </c>
      <c r="O124" s="4">
        <f>B94</f>
        <v>1.7948523929860767</v>
      </c>
      <c r="P124" s="4">
        <f>B99</f>
        <v>2.2589584625040069</v>
      </c>
      <c r="Q124" s="4">
        <f>B104</f>
        <v>3.0273056509185654</v>
      </c>
      <c r="R124" s="4">
        <f>B109</f>
        <v>4.5549365811483389</v>
      </c>
      <c r="S124" s="4">
        <f>B114</f>
        <v>9.1207272714754737</v>
      </c>
      <c r="T124" s="4" t="e">
        <f>B119</f>
        <v>#N/A</v>
      </c>
    </row>
    <row r="125" spans="1:20">
      <c r="A125" t="s">
        <v>64</v>
      </c>
      <c r="B125" s="4" t="e">
        <f>LOOKUP('IRR inputs &amp; outputs'!B18, B124:P124, B123:P123)</f>
        <v>#N/A</v>
      </c>
    </row>
    <row r="126" spans="1:20">
      <c r="A126" t="s">
        <v>65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D0B60-6A9A-440B-8172-C416209ADD95}">
  <dimension ref="A1:T126"/>
  <sheetViews>
    <sheetView workbookViewId="0">
      <selection activeCell="A17" sqref="A17:L18"/>
    </sheetView>
  </sheetViews>
  <sheetFormatPr defaultRowHeight="14.25"/>
  <cols>
    <col min="1" max="1" width="14.7109375" bestFit="1" customWidth="1"/>
  </cols>
  <sheetData>
    <row r="1" spans="1:15">
      <c r="A1" s="1" t="s">
        <v>24</v>
      </c>
      <c r="B1" s="5">
        <v>0.25</v>
      </c>
    </row>
    <row r="2" spans="1:15">
      <c r="A2" t="s">
        <v>44</v>
      </c>
      <c r="B2">
        <f>24*365</f>
        <v>8760</v>
      </c>
    </row>
    <row r="3" spans="1:15">
      <c r="A3" t="s">
        <v>45</v>
      </c>
      <c r="B3">
        <f>B2*B1*'IRR inputs &amp; outputs'!B2*'IRR inputs &amp; outputs'!B3*'IRR inputs &amp; outputs'!$B$7</f>
        <v>108624</v>
      </c>
      <c r="C3" t="s">
        <v>46</v>
      </c>
    </row>
    <row r="5" spans="1:15">
      <c r="A5" s="1" t="s">
        <v>47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48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49</v>
      </c>
      <c r="B7" s="2"/>
      <c r="C7" s="2">
        <f>$B$3*'IRR inputs &amp; outputs'!$B$13</f>
        <v>59743.200000000004</v>
      </c>
      <c r="D7" s="2">
        <f>$B$3*'IRR inputs &amp; outputs'!$B$13</f>
        <v>59743.200000000004</v>
      </c>
      <c r="E7" s="2">
        <f>$B$3*'IRR inputs &amp; outputs'!$B$13</f>
        <v>59743.200000000004</v>
      </c>
      <c r="F7" s="2">
        <f>$B$3*'IRR inputs &amp; outputs'!$B$13</f>
        <v>59743.200000000004</v>
      </c>
      <c r="G7" s="2">
        <f>$B$3*'IRR inputs &amp; outputs'!$B$13</f>
        <v>59743.200000000004</v>
      </c>
      <c r="H7" s="2">
        <f>$B$3*'IRR inputs &amp; outputs'!$B$13</f>
        <v>59743.200000000004</v>
      </c>
      <c r="I7" s="2">
        <f>$B$3*'IRR inputs &amp; outputs'!$B$13</f>
        <v>59743.200000000004</v>
      </c>
      <c r="J7" s="2">
        <f>$B$3*'IRR inputs &amp; outputs'!$B$13</f>
        <v>59743.200000000004</v>
      </c>
      <c r="K7" s="2">
        <f>$B$3*'IRR inputs &amp; outputs'!$B$13</f>
        <v>59743.200000000004</v>
      </c>
      <c r="L7" s="2">
        <f>$B$3*'IRR inputs &amp; outputs'!$B$13</f>
        <v>59743.200000000004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50</v>
      </c>
      <c r="B9" s="2"/>
      <c r="C9" s="2">
        <f t="shared" ref="C9:L9" si="0">SUM(C7:C8)</f>
        <v>59743.200000000004</v>
      </c>
      <c r="D9" s="2">
        <f t="shared" si="0"/>
        <v>59743.200000000004</v>
      </c>
      <c r="E9" s="2">
        <f t="shared" si="0"/>
        <v>59743.200000000004</v>
      </c>
      <c r="F9" s="2">
        <f t="shared" si="0"/>
        <v>59743.200000000004</v>
      </c>
      <c r="G9" s="2">
        <f t="shared" si="0"/>
        <v>59743.200000000004</v>
      </c>
      <c r="H9" s="2">
        <f t="shared" si="0"/>
        <v>59743.200000000004</v>
      </c>
      <c r="I9" s="2">
        <f t="shared" si="0"/>
        <v>59743.200000000004</v>
      </c>
      <c r="J9" s="2">
        <f t="shared" si="0"/>
        <v>59743.200000000004</v>
      </c>
      <c r="K9" s="2">
        <f t="shared" si="0"/>
        <v>59743.200000000004</v>
      </c>
      <c r="L9" s="2">
        <f t="shared" si="0"/>
        <v>59743.200000000004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51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50000</v>
      </c>
      <c r="C12" s="2"/>
      <c r="D12" s="2"/>
      <c r="E12" s="2"/>
      <c r="F12" s="2"/>
      <c r="G12" s="2">
        <f>'IRR inputs &amp; outputs'!B15</f>
        <v>35000</v>
      </c>
      <c r="H12" s="2"/>
      <c r="I12" s="2"/>
      <c r="J12" s="2"/>
      <c r="K12" s="2"/>
      <c r="L12" s="2"/>
    </row>
    <row r="13" spans="1:15">
      <c r="A13" t="s">
        <v>52</v>
      </c>
      <c r="B13" s="2">
        <f>'IRR inputs &amp; outputs'!B16</f>
        <v>1000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53</v>
      </c>
      <c r="B14" s="2"/>
      <c r="C14" s="2">
        <f>'IRR inputs &amp; outputs'!$B$17</f>
        <v>5000</v>
      </c>
      <c r="D14" s="2">
        <f>'IRR inputs &amp; outputs'!$B$17</f>
        <v>5000</v>
      </c>
      <c r="E14" s="2">
        <f>'IRR inputs &amp; outputs'!$B$17</f>
        <v>5000</v>
      </c>
      <c r="F14" s="2">
        <f>'IRR inputs &amp; outputs'!$B$17</f>
        <v>5000</v>
      </c>
      <c r="G14" s="2">
        <f>'IRR inputs &amp; outputs'!$B$17</f>
        <v>5000</v>
      </c>
      <c r="H14" s="2">
        <f>'IRR inputs &amp; outputs'!$B$17</f>
        <v>5000</v>
      </c>
      <c r="I14" s="2">
        <f>'IRR inputs &amp; outputs'!$B$17</f>
        <v>5000</v>
      </c>
      <c r="J14" s="2">
        <f>'IRR inputs &amp; outputs'!$B$17</f>
        <v>5000</v>
      </c>
      <c r="K14" s="2">
        <f>'IRR inputs &amp; outputs'!$B$17</f>
        <v>5000</v>
      </c>
      <c r="L14" s="2">
        <f>'IRR inputs &amp; outputs'!$B$17</f>
        <v>5000</v>
      </c>
    </row>
    <row r="15" spans="1:15">
      <c r="A15" t="s">
        <v>54</v>
      </c>
      <c r="B15" s="2"/>
      <c r="C15" s="2">
        <f>'IRR inputs &amp; outputs'!B14</f>
        <v>750</v>
      </c>
      <c r="D15" s="2">
        <f>'IRR inputs &amp; outputs'!B14</f>
        <v>750</v>
      </c>
      <c r="E15" s="2">
        <f>'IRR inputs &amp; outputs'!B14</f>
        <v>750</v>
      </c>
      <c r="F15" s="2">
        <f>'IRR inputs &amp; outputs'!B14</f>
        <v>750</v>
      </c>
      <c r="G15" s="2">
        <f>'IRR inputs &amp; outputs'!B14</f>
        <v>750</v>
      </c>
      <c r="H15" s="2">
        <f>'IRR inputs &amp; outputs'!B14</f>
        <v>750</v>
      </c>
      <c r="I15" s="2">
        <f>'IRR inputs &amp; outputs'!B14</f>
        <v>750</v>
      </c>
      <c r="J15" s="2">
        <f>'IRR inputs &amp; outputs'!B14</f>
        <v>750</v>
      </c>
      <c r="K15" s="2">
        <f>'IRR inputs &amp; outputs'!B14</f>
        <v>750</v>
      </c>
      <c r="L15" s="2">
        <f>'IRR inputs &amp; outputs'!B14</f>
        <v>750</v>
      </c>
    </row>
    <row r="16" spans="1:15">
      <c r="A16" t="s">
        <v>55</v>
      </c>
      <c r="B16" s="2"/>
      <c r="C16" s="2">
        <f>(1/'IRR inputs &amp; outputs'!$B$8)*$B$3*'IRR inputs &amp; outputs'!$B$9+'IRR inputs &amp; outputs'!$B$10</f>
        <v>22868.21052631579</v>
      </c>
      <c r="D16" s="2">
        <f>(1/'IRR inputs &amp; outputs'!$B$8)*$B$3*'IRR inputs &amp; outputs'!$B$9+'IRR inputs &amp; outputs'!$B$10</f>
        <v>22868.21052631579</v>
      </c>
      <c r="E16" s="2">
        <f>(1/'IRR inputs &amp; outputs'!$B$8)*$B$3*'IRR inputs &amp; outputs'!$B$9+'IRR inputs &amp; outputs'!$B$10</f>
        <v>22868.21052631579</v>
      </c>
      <c r="F16" s="2">
        <f>(1/'IRR inputs &amp; outputs'!$B$8)*$B$3*'IRR inputs &amp; outputs'!$B$9+'IRR inputs &amp; outputs'!$B$10</f>
        <v>22868.21052631579</v>
      </c>
      <c r="G16" s="2">
        <f>(1/'IRR inputs &amp; outputs'!$B$8)*$B$3*'IRR inputs &amp; outputs'!$B$9+'IRR inputs &amp; outputs'!$B$10</f>
        <v>22868.21052631579</v>
      </c>
      <c r="H16" s="2">
        <f>(1/'IRR inputs &amp; outputs'!$B$8)*$B$3*'IRR inputs &amp; outputs'!$B$9+'IRR inputs &amp; outputs'!$B$10</f>
        <v>22868.21052631579</v>
      </c>
      <c r="I16" s="2">
        <f>(1/'IRR inputs &amp; outputs'!$B$8)*$B$3*'IRR inputs &amp; outputs'!$B$9+'IRR inputs &amp; outputs'!$B$10</f>
        <v>22868.21052631579</v>
      </c>
      <c r="J16" s="2">
        <f>(1/'IRR inputs &amp; outputs'!$B$8)*$B$3*'IRR inputs &amp; outputs'!$B$9+'IRR inputs &amp; outputs'!$B$10</f>
        <v>22868.21052631579</v>
      </c>
      <c r="K16" s="2">
        <f>(1/'IRR inputs &amp; outputs'!$B$8)*$B$3*'IRR inputs &amp; outputs'!$B$9+'IRR inputs &amp; outputs'!$B$10</f>
        <v>22868.21052631579</v>
      </c>
      <c r="L16" s="2">
        <f>(1/'IRR inputs &amp; outputs'!$B$8)*$B$3*'IRR inputs &amp; outputs'!$B$9+'IRR inputs &amp; outputs'!$B$10</f>
        <v>22868.21052631579</v>
      </c>
    </row>
    <row r="17" spans="1:12">
      <c r="A17" t="s">
        <v>56</v>
      </c>
      <c r="B17" s="2"/>
      <c r="C17" s="46">
        <f>'IRR inputs &amp; outputs'!$B$12</f>
        <v>600</v>
      </c>
      <c r="D17" s="2">
        <f>'IRR inputs &amp; outputs'!$B$12</f>
        <v>600</v>
      </c>
      <c r="E17" s="2">
        <f>'IRR inputs &amp; outputs'!$B$12</f>
        <v>600</v>
      </c>
      <c r="F17" s="2">
        <f>'IRR inputs &amp; outputs'!$B$12</f>
        <v>600</v>
      </c>
      <c r="G17" s="2">
        <f>'IRR inputs &amp; outputs'!$B$12</f>
        <v>600</v>
      </c>
      <c r="H17" s="2">
        <f>'IRR inputs &amp; outputs'!$B$12</f>
        <v>600</v>
      </c>
      <c r="I17" s="2">
        <f>'IRR inputs &amp; outputs'!$B$12</f>
        <v>600</v>
      </c>
      <c r="J17" s="2">
        <f>'IRR inputs &amp; outputs'!$B$12</f>
        <v>600</v>
      </c>
      <c r="K17" s="2">
        <f>'IRR inputs &amp; outputs'!$B$12</f>
        <v>600</v>
      </c>
      <c r="L17" s="2">
        <f>'IRR inputs &amp; outputs'!$B$12</f>
        <v>600</v>
      </c>
    </row>
    <row r="18" spans="1:12">
      <c r="A18" t="s">
        <v>57</v>
      </c>
      <c r="B18" s="2"/>
      <c r="C18" s="2">
        <f>$B$3*'IRR inputs &amp; outputs'!$B$11*'IRR inputs &amp; outputs'!$B$13</f>
        <v>4480.74</v>
      </c>
      <c r="D18" s="2">
        <f>$B$3*'IRR inputs &amp; outputs'!$B$11*'IRR inputs &amp; outputs'!$B$13</f>
        <v>4480.74</v>
      </c>
      <c r="E18" s="2">
        <f>$B$3*'IRR inputs &amp; outputs'!$B$11*'IRR inputs &amp; outputs'!$B$13</f>
        <v>4480.74</v>
      </c>
      <c r="F18" s="2">
        <f>$B$3*'IRR inputs &amp; outputs'!$B$11*'IRR inputs &amp; outputs'!$B$13</f>
        <v>4480.74</v>
      </c>
      <c r="G18" s="2">
        <f>$B$3*'IRR inputs &amp; outputs'!$B$11*'IRR inputs &amp; outputs'!$B$13</f>
        <v>4480.74</v>
      </c>
      <c r="H18" s="2">
        <f>$B$3*'IRR inputs &amp; outputs'!$B$11*'IRR inputs &amp; outputs'!$B$13</f>
        <v>4480.74</v>
      </c>
      <c r="I18" s="2">
        <f>$B$3*'IRR inputs &amp; outputs'!$B$11*'IRR inputs &amp; outputs'!$B$13</f>
        <v>4480.74</v>
      </c>
      <c r="J18" s="2">
        <f>$B$3*'IRR inputs &amp; outputs'!$B$11*'IRR inputs &amp; outputs'!$B$13</f>
        <v>4480.74</v>
      </c>
      <c r="K18" s="2">
        <f>$B$3*'IRR inputs &amp; outputs'!$B$11*'IRR inputs &amp; outputs'!$B$13</f>
        <v>4480.74</v>
      </c>
      <c r="L18" s="2">
        <f>$B$3*'IRR inputs &amp; outputs'!$B$11*'IRR inputs &amp; outputs'!$B$13</f>
        <v>4480.74</v>
      </c>
    </row>
    <row r="19" spans="1:12">
      <c r="A19" t="s">
        <v>58</v>
      </c>
      <c r="B19" s="3">
        <f t="shared" ref="B19:L19" si="1">SUM(B12:B18)</f>
        <v>51000</v>
      </c>
      <c r="C19" s="3">
        <f t="shared" si="1"/>
        <v>33698.950526315792</v>
      </c>
      <c r="D19" s="3">
        <f t="shared" si="1"/>
        <v>33698.950526315792</v>
      </c>
      <c r="E19" s="3">
        <f t="shared" si="1"/>
        <v>33698.950526315792</v>
      </c>
      <c r="F19" s="3">
        <f t="shared" si="1"/>
        <v>33698.950526315792</v>
      </c>
      <c r="G19" s="3">
        <f t="shared" si="1"/>
        <v>68698.950526315792</v>
      </c>
      <c r="H19" s="3">
        <f t="shared" si="1"/>
        <v>33698.950526315792</v>
      </c>
      <c r="I19" s="3">
        <f t="shared" si="1"/>
        <v>33698.950526315792</v>
      </c>
      <c r="J19" s="3">
        <f t="shared" si="1"/>
        <v>33698.950526315792</v>
      </c>
      <c r="K19" s="3">
        <f t="shared" si="1"/>
        <v>33698.950526315792</v>
      </c>
      <c r="L19" s="3">
        <f t="shared" si="1"/>
        <v>33698.950526315792</v>
      </c>
    </row>
    <row r="21" spans="1:12">
      <c r="A21" t="s">
        <v>59</v>
      </c>
      <c r="B21" s="3">
        <f t="shared" ref="B21:L21" si="2">B9-B19</f>
        <v>-51000</v>
      </c>
      <c r="C21" s="3">
        <f t="shared" si="2"/>
        <v>26044.249473684213</v>
      </c>
      <c r="D21" s="3">
        <f t="shared" si="2"/>
        <v>26044.249473684213</v>
      </c>
      <c r="E21" s="3">
        <f t="shared" si="2"/>
        <v>26044.249473684213</v>
      </c>
      <c r="F21" s="3">
        <f t="shared" si="2"/>
        <v>26044.249473684213</v>
      </c>
      <c r="G21" s="3">
        <f t="shared" si="2"/>
        <v>-8955.7505263157873</v>
      </c>
      <c r="H21" s="3">
        <f t="shared" si="2"/>
        <v>26044.249473684213</v>
      </c>
      <c r="I21" s="3">
        <f t="shared" si="2"/>
        <v>26044.249473684213</v>
      </c>
      <c r="J21" s="3">
        <f t="shared" si="2"/>
        <v>26044.249473684213</v>
      </c>
      <c r="K21" s="3">
        <f t="shared" si="2"/>
        <v>26044.249473684213</v>
      </c>
      <c r="L21" s="3">
        <f t="shared" si="2"/>
        <v>26044.249473684213</v>
      </c>
    </row>
    <row r="23" spans="1:12">
      <c r="A23" t="s">
        <v>25</v>
      </c>
      <c r="B23" s="4">
        <f>IFERROR(IRR(B21:L21),NA())</f>
        <v>0.45007183236574888</v>
      </c>
    </row>
    <row r="25" spans="1:12">
      <c r="A25" s="1" t="s">
        <v>60</v>
      </c>
    </row>
    <row r="26" spans="1:12">
      <c r="A26" t="s">
        <v>41</v>
      </c>
      <c r="B26" s="4">
        <v>0.1</v>
      </c>
    </row>
    <row r="27" spans="1:12">
      <c r="A27" t="s">
        <v>61</v>
      </c>
      <c r="B27" s="3">
        <f>$B$12*(1-B26)</f>
        <v>45000</v>
      </c>
    </row>
    <row r="28" spans="1:12">
      <c r="A28" s="4" t="s">
        <v>62</v>
      </c>
      <c r="B28" s="3">
        <f>-B27</f>
        <v>-45000</v>
      </c>
      <c r="C28" s="3">
        <f>$C$21</f>
        <v>26044.249473684213</v>
      </c>
      <c r="D28" s="3">
        <f>$D$21</f>
        <v>26044.249473684213</v>
      </c>
      <c r="E28" s="3">
        <f>$E$21</f>
        <v>26044.249473684213</v>
      </c>
      <c r="F28" s="3">
        <f>$F$21</f>
        <v>26044.249473684213</v>
      </c>
      <c r="G28" s="3">
        <f>$G$21</f>
        <v>-8955.7505263157873</v>
      </c>
      <c r="H28" s="3">
        <f>$H$21</f>
        <v>26044.249473684213</v>
      </c>
      <c r="I28" s="3">
        <f>$I$21</f>
        <v>26044.249473684213</v>
      </c>
      <c r="J28" s="3">
        <f>$J$21</f>
        <v>26044.249473684213</v>
      </c>
      <c r="K28" s="3">
        <f>$K$21</f>
        <v>26044.249473684213</v>
      </c>
      <c r="L28" s="3">
        <f>$L$21</f>
        <v>26044.249473684213</v>
      </c>
    </row>
    <row r="29" spans="1:12">
      <c r="A29" s="4" t="s">
        <v>25</v>
      </c>
      <c r="B29" s="4">
        <f>IFERROR(IRR(B28:L28),NA())</f>
        <v>0.5201399994209368</v>
      </c>
    </row>
    <row r="30" spans="1:12">
      <c r="A30" s="4"/>
      <c r="B30" s="3"/>
    </row>
    <row r="31" spans="1:12">
      <c r="A31" t="s">
        <v>41</v>
      </c>
      <c r="B31" s="4">
        <v>0.15</v>
      </c>
    </row>
    <row r="32" spans="1:12">
      <c r="A32" t="s">
        <v>61</v>
      </c>
      <c r="B32" s="3">
        <f>$B$12*(1-B31)</f>
        <v>42500</v>
      </c>
    </row>
    <row r="33" spans="1:12">
      <c r="A33" s="4" t="s">
        <v>62</v>
      </c>
      <c r="B33" s="3">
        <f>-B32</f>
        <v>-42500</v>
      </c>
      <c r="C33" s="3">
        <f>$C$21</f>
        <v>26044.249473684213</v>
      </c>
      <c r="D33" s="3">
        <f>$D$21</f>
        <v>26044.249473684213</v>
      </c>
      <c r="E33" s="3">
        <f>$E$21</f>
        <v>26044.249473684213</v>
      </c>
      <c r="F33" s="3">
        <f>$F$21</f>
        <v>26044.249473684213</v>
      </c>
      <c r="G33" s="3">
        <f>$G$21</f>
        <v>-8955.7505263157873</v>
      </c>
      <c r="H33" s="3">
        <f>$H$21</f>
        <v>26044.249473684213</v>
      </c>
      <c r="I33" s="3">
        <f>$I$21</f>
        <v>26044.249473684213</v>
      </c>
      <c r="J33" s="3">
        <f>$J$21</f>
        <v>26044.249473684213</v>
      </c>
      <c r="K33" s="3">
        <f>$K$21</f>
        <v>26044.249473684213</v>
      </c>
      <c r="L33" s="3">
        <f>$L$21</f>
        <v>26044.249473684213</v>
      </c>
    </row>
    <row r="34" spans="1:12">
      <c r="A34" s="4" t="s">
        <v>25</v>
      </c>
      <c r="B34" s="4">
        <f>IFERROR(IRR(B33:L33),NA())</f>
        <v>0.55513746028782029</v>
      </c>
    </row>
    <row r="35" spans="1:12">
      <c r="A35" s="4"/>
      <c r="B35" s="3"/>
    </row>
    <row r="36" spans="1:12">
      <c r="A36" t="s">
        <v>41</v>
      </c>
      <c r="B36" s="4">
        <v>0.2</v>
      </c>
    </row>
    <row r="37" spans="1:12">
      <c r="A37" t="s">
        <v>61</v>
      </c>
      <c r="B37" s="3">
        <f>$B$12*(1-B36)</f>
        <v>40000</v>
      </c>
    </row>
    <row r="38" spans="1:12">
      <c r="A38" s="4" t="s">
        <v>62</v>
      </c>
      <c r="B38" s="3">
        <f>-B37</f>
        <v>-40000</v>
      </c>
      <c r="C38" s="3">
        <f>$C$21</f>
        <v>26044.249473684213</v>
      </c>
      <c r="D38" s="3">
        <f>$D$21</f>
        <v>26044.249473684213</v>
      </c>
      <c r="E38" s="3">
        <f>$E$21</f>
        <v>26044.249473684213</v>
      </c>
      <c r="F38" s="3">
        <f>$F$21</f>
        <v>26044.249473684213</v>
      </c>
      <c r="G38" s="3">
        <f>$G$21</f>
        <v>-8955.7505263157873</v>
      </c>
      <c r="H38" s="3">
        <f>$H$21</f>
        <v>26044.249473684213</v>
      </c>
      <c r="I38" s="3">
        <f>$I$21</f>
        <v>26044.249473684213</v>
      </c>
      <c r="J38" s="3">
        <f>$J$21</f>
        <v>26044.249473684213</v>
      </c>
      <c r="K38" s="3">
        <f>$K$21</f>
        <v>26044.249473684213</v>
      </c>
      <c r="L38" s="3">
        <f>$L$21</f>
        <v>26044.249473684213</v>
      </c>
    </row>
    <row r="39" spans="1:12">
      <c r="A39" s="4" t="s">
        <v>25</v>
      </c>
      <c r="B39" s="4">
        <f>IFERROR(IRR(B38:L38),NA())</f>
        <v>0.59450735576662783</v>
      </c>
    </row>
    <row r="41" spans="1:12">
      <c r="A41" t="s">
        <v>41</v>
      </c>
      <c r="B41" s="4">
        <v>0.25</v>
      </c>
    </row>
    <row r="42" spans="1:12">
      <c r="A42" t="s">
        <v>61</v>
      </c>
      <c r="B42" s="3">
        <f>$B$12*(1-B41)</f>
        <v>37500</v>
      </c>
    </row>
    <row r="43" spans="1:12">
      <c r="A43" s="4" t="s">
        <v>62</v>
      </c>
      <c r="B43" s="3">
        <f>-B42</f>
        <v>-37500</v>
      </c>
      <c r="C43" s="3">
        <f>$C$21</f>
        <v>26044.249473684213</v>
      </c>
      <c r="D43" s="3">
        <f>$D$21</f>
        <v>26044.249473684213</v>
      </c>
      <c r="E43" s="3">
        <f>$E$21</f>
        <v>26044.249473684213</v>
      </c>
      <c r="F43" s="3">
        <f>$F$21</f>
        <v>26044.249473684213</v>
      </c>
      <c r="G43" s="3">
        <f>$G$21</f>
        <v>-8955.7505263157873</v>
      </c>
      <c r="H43" s="3">
        <f>$H$21</f>
        <v>26044.249473684213</v>
      </c>
      <c r="I43" s="3">
        <f>$I$21</f>
        <v>26044.249473684213</v>
      </c>
      <c r="J43" s="3">
        <f>$J$21</f>
        <v>26044.249473684213</v>
      </c>
      <c r="K43" s="3">
        <f>$K$21</f>
        <v>26044.249473684213</v>
      </c>
      <c r="L43" s="3">
        <f>$L$21</f>
        <v>26044.249473684213</v>
      </c>
    </row>
    <row r="44" spans="1:12">
      <c r="A44" s="4" t="s">
        <v>25</v>
      </c>
      <c r="B44" s="4">
        <f>IFERROR(IRR(B43:L43),NA())</f>
        <v>0.63913857054525169</v>
      </c>
    </row>
    <row r="46" spans="1:12">
      <c r="A46" t="s">
        <v>41</v>
      </c>
      <c r="B46" s="4">
        <v>0.3</v>
      </c>
    </row>
    <row r="47" spans="1:12">
      <c r="A47" t="s">
        <v>61</v>
      </c>
      <c r="B47" s="3">
        <f>$B$12*(1-B46)</f>
        <v>35000</v>
      </c>
    </row>
    <row r="48" spans="1:12">
      <c r="A48" s="4" t="s">
        <v>62</v>
      </c>
      <c r="B48" s="3">
        <f>-B47</f>
        <v>-35000</v>
      </c>
      <c r="C48" s="3">
        <f>$C$21</f>
        <v>26044.249473684213</v>
      </c>
      <c r="D48" s="3">
        <f>$D$21</f>
        <v>26044.249473684213</v>
      </c>
      <c r="E48" s="3">
        <f>$E$21</f>
        <v>26044.249473684213</v>
      </c>
      <c r="F48" s="3">
        <f>$F$21</f>
        <v>26044.249473684213</v>
      </c>
      <c r="G48" s="3">
        <f>$G$21</f>
        <v>-8955.7505263157873</v>
      </c>
      <c r="H48" s="3">
        <f>$H$21</f>
        <v>26044.249473684213</v>
      </c>
      <c r="I48" s="3">
        <f>$I$21</f>
        <v>26044.249473684213</v>
      </c>
      <c r="J48" s="3">
        <f>$J$21</f>
        <v>26044.249473684213</v>
      </c>
      <c r="K48" s="3">
        <f>$K$21</f>
        <v>26044.249473684213</v>
      </c>
      <c r="L48" s="3">
        <f>$L$21</f>
        <v>26044.249473684213</v>
      </c>
    </row>
    <row r="49" spans="1:12">
      <c r="A49" s="4" t="s">
        <v>25</v>
      </c>
      <c r="B49" s="4">
        <f>IFERROR(IRR(B48:L48),NA())</f>
        <v>0.69017162149722822</v>
      </c>
    </row>
    <row r="51" spans="1:12">
      <c r="A51" t="s">
        <v>41</v>
      </c>
      <c r="B51" s="4">
        <v>0.35</v>
      </c>
    </row>
    <row r="52" spans="1:12">
      <c r="A52" t="s">
        <v>61</v>
      </c>
      <c r="B52" s="3">
        <f>$B$12*(1-B51)</f>
        <v>32500</v>
      </c>
    </row>
    <row r="53" spans="1:12">
      <c r="A53" s="4" t="s">
        <v>62</v>
      </c>
      <c r="B53" s="3">
        <f>-B52</f>
        <v>-32500</v>
      </c>
      <c r="C53" s="3">
        <f>$C$21</f>
        <v>26044.249473684213</v>
      </c>
      <c r="D53" s="3">
        <f>$D$21</f>
        <v>26044.249473684213</v>
      </c>
      <c r="E53" s="3">
        <f>$E$21</f>
        <v>26044.249473684213</v>
      </c>
      <c r="F53" s="3">
        <f>$F$21</f>
        <v>26044.249473684213</v>
      </c>
      <c r="G53" s="3">
        <f>$G$21</f>
        <v>-8955.7505263157873</v>
      </c>
      <c r="H53" s="3">
        <f>$H$21</f>
        <v>26044.249473684213</v>
      </c>
      <c r="I53" s="3">
        <f>$I$21</f>
        <v>26044.249473684213</v>
      </c>
      <c r="J53" s="3">
        <f>$J$21</f>
        <v>26044.249473684213</v>
      </c>
      <c r="K53" s="3">
        <f>$K$21</f>
        <v>26044.249473684213</v>
      </c>
      <c r="L53" s="3">
        <f>$L$21</f>
        <v>26044.249473684213</v>
      </c>
    </row>
    <row r="54" spans="1:12">
      <c r="A54" s="4" t="s">
        <v>25</v>
      </c>
      <c r="B54" s="4">
        <f>IFERROR(IRR(B53:L53),NA())</f>
        <v>0.74909300580252958</v>
      </c>
    </row>
    <row r="56" spans="1:12">
      <c r="A56" t="s">
        <v>41</v>
      </c>
      <c r="B56" s="4">
        <v>0.4</v>
      </c>
    </row>
    <row r="57" spans="1:12">
      <c r="A57" t="s">
        <v>61</v>
      </c>
      <c r="B57" s="3">
        <f>$B$12*(1-B56)</f>
        <v>30000</v>
      </c>
    </row>
    <row r="58" spans="1:12">
      <c r="A58" s="4" t="s">
        <v>62</v>
      </c>
      <c r="B58" s="3">
        <f>-B57</f>
        <v>-30000</v>
      </c>
      <c r="C58" s="3">
        <f>$C$21</f>
        <v>26044.249473684213</v>
      </c>
      <c r="D58" s="3">
        <f>$D$21</f>
        <v>26044.249473684213</v>
      </c>
      <c r="E58" s="3">
        <f>$E$21</f>
        <v>26044.249473684213</v>
      </c>
      <c r="F58" s="3">
        <f>$F$21</f>
        <v>26044.249473684213</v>
      </c>
      <c r="G58" s="3">
        <f>$G$21</f>
        <v>-8955.7505263157873</v>
      </c>
      <c r="H58" s="3">
        <f>$H$21</f>
        <v>26044.249473684213</v>
      </c>
      <c r="I58" s="3">
        <f>$I$21</f>
        <v>26044.249473684213</v>
      </c>
      <c r="J58" s="3">
        <f>$J$21</f>
        <v>26044.249473684213</v>
      </c>
      <c r="K58" s="3">
        <f>$K$21</f>
        <v>26044.249473684213</v>
      </c>
      <c r="L58" s="3">
        <f>$L$21</f>
        <v>26044.249473684213</v>
      </c>
    </row>
    <row r="59" spans="1:12">
      <c r="A59" s="4" t="s">
        <v>25</v>
      </c>
      <c r="B59" s="4">
        <f>IFERROR(IRR(B58:L58),NA())</f>
        <v>0.8178757309788478</v>
      </c>
    </row>
    <row r="61" spans="1:12">
      <c r="A61" t="s">
        <v>41</v>
      </c>
      <c r="B61" s="4">
        <v>0.45</v>
      </c>
    </row>
    <row r="62" spans="1:12">
      <c r="A62" t="s">
        <v>61</v>
      </c>
      <c r="B62" s="3">
        <f>$B$12*(1-B61)</f>
        <v>27500.000000000004</v>
      </c>
    </row>
    <row r="63" spans="1:12">
      <c r="A63" s="4" t="s">
        <v>62</v>
      </c>
      <c r="B63" s="3">
        <f>-B62</f>
        <v>-27500.000000000004</v>
      </c>
      <c r="C63" s="3">
        <f>$C$21</f>
        <v>26044.249473684213</v>
      </c>
      <c r="D63" s="3">
        <f>$D$21</f>
        <v>26044.249473684213</v>
      </c>
      <c r="E63" s="3">
        <f>$E$21</f>
        <v>26044.249473684213</v>
      </c>
      <c r="F63" s="3">
        <f>$F$21</f>
        <v>26044.249473684213</v>
      </c>
      <c r="G63" s="3">
        <f>$G$21</f>
        <v>-8955.7505263157873</v>
      </c>
      <c r="H63" s="3">
        <f>$H$21</f>
        <v>26044.249473684213</v>
      </c>
      <c r="I63" s="3">
        <f>$I$21</f>
        <v>26044.249473684213</v>
      </c>
      <c r="J63" s="3">
        <f>$J$21</f>
        <v>26044.249473684213</v>
      </c>
      <c r="K63" s="3">
        <f>$K$21</f>
        <v>26044.249473684213</v>
      </c>
      <c r="L63" s="3">
        <f>$L$21</f>
        <v>26044.249473684213</v>
      </c>
    </row>
    <row r="64" spans="1:12">
      <c r="A64" s="4" t="s">
        <v>25</v>
      </c>
      <c r="B64" s="4">
        <f>IFERROR(IRR(B63:L63),NA())</f>
        <v>0.89919527352533057</v>
      </c>
    </row>
    <row r="66" spans="1:12">
      <c r="A66" t="s">
        <v>41</v>
      </c>
      <c r="B66" s="4">
        <v>0.5</v>
      </c>
    </row>
    <row r="67" spans="1:12">
      <c r="A67" t="s">
        <v>61</v>
      </c>
      <c r="B67" s="3">
        <f>$B$12*(1-B66)</f>
        <v>25000</v>
      </c>
    </row>
    <row r="68" spans="1:12">
      <c r="A68" s="4" t="s">
        <v>62</v>
      </c>
      <c r="B68" s="3">
        <f>-B67</f>
        <v>-25000</v>
      </c>
      <c r="C68" s="3">
        <f>$C$21</f>
        <v>26044.249473684213</v>
      </c>
      <c r="D68" s="3">
        <f>$D$21</f>
        <v>26044.249473684213</v>
      </c>
      <c r="E68" s="3">
        <f>$E$21</f>
        <v>26044.249473684213</v>
      </c>
      <c r="F68" s="3">
        <f>$F$21</f>
        <v>26044.249473684213</v>
      </c>
      <c r="G68" s="3">
        <f>$G$21</f>
        <v>-8955.7505263157873</v>
      </c>
      <c r="H68" s="3">
        <f>$H$21</f>
        <v>26044.249473684213</v>
      </c>
      <c r="I68" s="3">
        <f>$I$21</f>
        <v>26044.249473684213</v>
      </c>
      <c r="J68" s="3">
        <f>$J$21</f>
        <v>26044.249473684213</v>
      </c>
      <c r="K68" s="3">
        <f>$K$21</f>
        <v>26044.249473684213</v>
      </c>
      <c r="L68" s="3">
        <f>$L$21</f>
        <v>26044.249473684213</v>
      </c>
    </row>
    <row r="69" spans="1:12">
      <c r="A69" s="4" t="s">
        <v>25</v>
      </c>
      <c r="B69" s="4">
        <f>IFERROR(IRR(B68:L68),NA())</f>
        <v>0.996773776830711</v>
      </c>
    </row>
    <row r="71" spans="1:12">
      <c r="A71" t="s">
        <v>41</v>
      </c>
      <c r="B71" s="4">
        <v>0.55000000000000004</v>
      </c>
    </row>
    <row r="72" spans="1:12">
      <c r="A72" t="s">
        <v>61</v>
      </c>
      <c r="B72" s="3">
        <f>$B$12*(1-B71)</f>
        <v>22499.999999999996</v>
      </c>
    </row>
    <row r="73" spans="1:12">
      <c r="A73" s="4" t="s">
        <v>62</v>
      </c>
      <c r="B73" s="3">
        <f>-B72</f>
        <v>-22499.999999999996</v>
      </c>
      <c r="C73" s="3">
        <f>$C$21</f>
        <v>26044.249473684213</v>
      </c>
      <c r="D73" s="3">
        <f>$D$21</f>
        <v>26044.249473684213</v>
      </c>
      <c r="E73" s="3">
        <f>$E$21</f>
        <v>26044.249473684213</v>
      </c>
      <c r="F73" s="3">
        <f>$F$21</f>
        <v>26044.249473684213</v>
      </c>
      <c r="G73" s="3">
        <f>$G$21</f>
        <v>-8955.7505263157873</v>
      </c>
      <c r="H73" s="3">
        <f>$H$21</f>
        <v>26044.249473684213</v>
      </c>
      <c r="I73" s="3">
        <f>$I$21</f>
        <v>26044.249473684213</v>
      </c>
      <c r="J73" s="3">
        <f>$J$21</f>
        <v>26044.249473684213</v>
      </c>
      <c r="K73" s="3">
        <f>$K$21</f>
        <v>26044.249473684213</v>
      </c>
      <c r="L73" s="3">
        <f>$L$21</f>
        <v>26044.249473684213</v>
      </c>
    </row>
    <row r="74" spans="1:12">
      <c r="A74" s="4" t="s">
        <v>25</v>
      </c>
      <c r="B74" s="4">
        <f>IFERROR(IRR(B73:L73),NA())</f>
        <v>1.1159525982890384</v>
      </c>
    </row>
    <row r="76" spans="1:12">
      <c r="A76" t="s">
        <v>41</v>
      </c>
      <c r="B76" s="4">
        <v>0.6</v>
      </c>
    </row>
    <row r="77" spans="1:12">
      <c r="A77" t="s">
        <v>61</v>
      </c>
      <c r="B77" s="3">
        <f>$B$12*(1-B76)</f>
        <v>20000</v>
      </c>
    </row>
    <row r="78" spans="1:12">
      <c r="A78" s="4" t="s">
        <v>62</v>
      </c>
      <c r="B78" s="3">
        <f>-B77</f>
        <v>-20000</v>
      </c>
      <c r="C78" s="3">
        <f>$C$21</f>
        <v>26044.249473684213</v>
      </c>
      <c r="D78" s="3">
        <f>$D$21</f>
        <v>26044.249473684213</v>
      </c>
      <c r="E78" s="3">
        <f>$E$21</f>
        <v>26044.249473684213</v>
      </c>
      <c r="F78" s="3">
        <f>$F$21</f>
        <v>26044.249473684213</v>
      </c>
      <c r="G78" s="3">
        <f>$G$21</f>
        <v>-8955.7505263157873</v>
      </c>
      <c r="H78" s="3">
        <f>$H$21</f>
        <v>26044.249473684213</v>
      </c>
      <c r="I78" s="3">
        <f>$I$21</f>
        <v>26044.249473684213</v>
      </c>
      <c r="J78" s="3">
        <f>$J$21</f>
        <v>26044.249473684213</v>
      </c>
      <c r="K78" s="3">
        <f>$K$21</f>
        <v>26044.249473684213</v>
      </c>
      <c r="L78" s="3">
        <f>$L$21</f>
        <v>26044.249473684213</v>
      </c>
    </row>
    <row r="79" spans="1:12">
      <c r="A79" s="4" t="s">
        <v>25</v>
      </c>
      <c r="B79" s="4">
        <f>IFERROR(IRR(B78:L78),NA())</f>
        <v>1.264694087874334</v>
      </c>
    </row>
    <row r="81" spans="1:12">
      <c r="A81" t="s">
        <v>41</v>
      </c>
      <c r="B81" s="4">
        <v>0.65</v>
      </c>
    </row>
    <row r="82" spans="1:12">
      <c r="A82" t="s">
        <v>61</v>
      </c>
      <c r="B82" s="3">
        <f>$B$12*(1-B81)</f>
        <v>17500</v>
      </c>
    </row>
    <row r="83" spans="1:12">
      <c r="A83" s="4" t="s">
        <v>62</v>
      </c>
      <c r="B83" s="3">
        <f>-B82</f>
        <v>-17500</v>
      </c>
      <c r="C83" s="3">
        <f>$C$21</f>
        <v>26044.249473684213</v>
      </c>
      <c r="D83" s="3">
        <f>$D$21</f>
        <v>26044.249473684213</v>
      </c>
      <c r="E83" s="3">
        <f>$E$21</f>
        <v>26044.249473684213</v>
      </c>
      <c r="F83" s="3">
        <f>$F$21</f>
        <v>26044.249473684213</v>
      </c>
      <c r="G83" s="3">
        <f>$G$21</f>
        <v>-8955.7505263157873</v>
      </c>
      <c r="H83" s="3">
        <f>$H$21</f>
        <v>26044.249473684213</v>
      </c>
      <c r="I83" s="3">
        <f>$I$21</f>
        <v>26044.249473684213</v>
      </c>
      <c r="J83" s="3">
        <f>$J$21</f>
        <v>26044.249473684213</v>
      </c>
      <c r="K83" s="3">
        <f>$K$21</f>
        <v>26044.249473684213</v>
      </c>
      <c r="L83" s="3">
        <f>$L$21</f>
        <v>26044.249473684213</v>
      </c>
    </row>
    <row r="84" spans="1:12">
      <c r="A84" s="4" t="s">
        <v>25</v>
      </c>
      <c r="B84" s="4">
        <f>IFERROR(IRR(B83:L83),NA())</f>
        <v>1.4554441955202071</v>
      </c>
    </row>
    <row r="86" spans="1:12">
      <c r="A86" t="s">
        <v>41</v>
      </c>
      <c r="B86" s="4">
        <v>0.7</v>
      </c>
    </row>
    <row r="87" spans="1:12">
      <c r="A87" t="s">
        <v>61</v>
      </c>
      <c r="B87" s="3">
        <f>$B$12*(1-B86)</f>
        <v>15000.000000000002</v>
      </c>
    </row>
    <row r="88" spans="1:12">
      <c r="A88" s="4" t="s">
        <v>62</v>
      </c>
      <c r="B88" s="3">
        <f>-B87</f>
        <v>-15000.000000000002</v>
      </c>
      <c r="C88" s="3">
        <f>$C$21</f>
        <v>26044.249473684213</v>
      </c>
      <c r="D88" s="3">
        <f>$D$21</f>
        <v>26044.249473684213</v>
      </c>
      <c r="E88" s="3">
        <f>$E$21</f>
        <v>26044.249473684213</v>
      </c>
      <c r="F88" s="3">
        <f>$F$21</f>
        <v>26044.249473684213</v>
      </c>
      <c r="G88" s="3">
        <f>$G$21</f>
        <v>-8955.7505263157873</v>
      </c>
      <c r="H88" s="3">
        <f>$H$21</f>
        <v>26044.249473684213</v>
      </c>
      <c r="I88" s="3">
        <f>$I$21</f>
        <v>26044.249473684213</v>
      </c>
      <c r="J88" s="3">
        <f>$J$21</f>
        <v>26044.249473684213</v>
      </c>
      <c r="K88" s="3">
        <f>$K$21</f>
        <v>26044.249473684213</v>
      </c>
      <c r="L88" s="3">
        <f>$L$21</f>
        <v>26044.249473684213</v>
      </c>
    </row>
    <row r="89" spans="1:12">
      <c r="A89" s="4" t="s">
        <v>25</v>
      </c>
      <c r="B89" s="4">
        <f>IFERROR(IRR(B88:L88),NA())</f>
        <v>1.7088648799209074</v>
      </c>
    </row>
    <row r="91" spans="1:12">
      <c r="A91" t="s">
        <v>41</v>
      </c>
      <c r="B91" s="4">
        <v>0.75</v>
      </c>
    </row>
    <row r="92" spans="1:12">
      <c r="A92" t="s">
        <v>61</v>
      </c>
      <c r="B92" s="3">
        <f>$B$12*(1-B91)</f>
        <v>12500</v>
      </c>
    </row>
    <row r="93" spans="1:12">
      <c r="A93" s="4" t="s">
        <v>62</v>
      </c>
      <c r="B93" s="3">
        <f>-B92</f>
        <v>-12500</v>
      </c>
      <c r="C93" s="3">
        <f>$C$21</f>
        <v>26044.249473684213</v>
      </c>
      <c r="D93" s="3">
        <f>$D$21</f>
        <v>26044.249473684213</v>
      </c>
      <c r="E93" s="3">
        <f>$E$21</f>
        <v>26044.249473684213</v>
      </c>
      <c r="F93" s="3">
        <f>$F$21</f>
        <v>26044.249473684213</v>
      </c>
      <c r="G93" s="3">
        <f>$G$21</f>
        <v>-8955.7505263157873</v>
      </c>
      <c r="H93" s="3">
        <f>$H$21</f>
        <v>26044.249473684213</v>
      </c>
      <c r="I93" s="3">
        <f>$I$21</f>
        <v>26044.249473684213</v>
      </c>
      <c r="J93" s="3">
        <f>$J$21</f>
        <v>26044.249473684213</v>
      </c>
      <c r="K93" s="3">
        <f>$K$21</f>
        <v>26044.249473684213</v>
      </c>
      <c r="L93" s="3">
        <f>$L$21</f>
        <v>26044.249473684213</v>
      </c>
    </row>
    <row r="94" spans="1:12">
      <c r="A94" s="4" t="s">
        <v>25</v>
      </c>
      <c r="B94" s="4">
        <f>IFERROR(IRR(B93:L93),NA())</f>
        <v>2.062063082430194</v>
      </c>
    </row>
    <row r="96" spans="1:12">
      <c r="A96" t="s">
        <v>41</v>
      </c>
      <c r="B96" s="4">
        <v>0.8</v>
      </c>
    </row>
    <row r="97" spans="1:12">
      <c r="A97" t="s">
        <v>61</v>
      </c>
      <c r="B97" s="3">
        <f>$B$12*(1-B96)</f>
        <v>9999.9999999999982</v>
      </c>
    </row>
    <row r="98" spans="1:12">
      <c r="A98" s="4" t="s">
        <v>62</v>
      </c>
      <c r="B98" s="3">
        <f>-B97</f>
        <v>-9999.9999999999982</v>
      </c>
      <c r="C98" s="3">
        <f>$C$21</f>
        <v>26044.249473684213</v>
      </c>
      <c r="D98" s="3">
        <f>$D$21</f>
        <v>26044.249473684213</v>
      </c>
      <c r="E98" s="3">
        <f>$E$21</f>
        <v>26044.249473684213</v>
      </c>
      <c r="F98" s="3">
        <f>$F$21</f>
        <v>26044.249473684213</v>
      </c>
      <c r="G98" s="3">
        <f>$G$21</f>
        <v>-8955.7505263157873</v>
      </c>
      <c r="H98" s="3">
        <f>$H$21</f>
        <v>26044.249473684213</v>
      </c>
      <c r="I98" s="3">
        <f>$I$21</f>
        <v>26044.249473684213</v>
      </c>
      <c r="J98" s="3">
        <f>$J$21</f>
        <v>26044.249473684213</v>
      </c>
      <c r="K98" s="3">
        <f>$K$21</f>
        <v>26044.249473684213</v>
      </c>
      <c r="L98" s="3">
        <f>$L$21</f>
        <v>26044.249473684213</v>
      </c>
    </row>
    <row r="99" spans="1:12">
      <c r="A99" s="4" t="s">
        <v>25</v>
      </c>
      <c r="B99" s="4">
        <f>IFERROR(IRR(B98:L98),NA())</f>
        <v>2.5892035940341134</v>
      </c>
    </row>
    <row r="101" spans="1:12">
      <c r="A101" t="s">
        <v>41</v>
      </c>
      <c r="B101" s="4">
        <v>0.85</v>
      </c>
    </row>
    <row r="102" spans="1:12">
      <c r="A102" t="s">
        <v>61</v>
      </c>
      <c r="B102" s="3">
        <f>$B$12*(1-B101)</f>
        <v>7500.0000000000009</v>
      </c>
    </row>
    <row r="103" spans="1:12">
      <c r="A103" s="4" t="s">
        <v>62</v>
      </c>
      <c r="B103" s="3">
        <f>-B102</f>
        <v>-7500.0000000000009</v>
      </c>
      <c r="C103" s="3">
        <f>$C$21</f>
        <v>26044.249473684213</v>
      </c>
      <c r="D103" s="3">
        <f>$D$21</f>
        <v>26044.249473684213</v>
      </c>
      <c r="E103" s="3">
        <f>$E$21</f>
        <v>26044.249473684213</v>
      </c>
      <c r="F103" s="3">
        <f>$F$21</f>
        <v>26044.249473684213</v>
      </c>
      <c r="G103" s="3">
        <f>$G$21</f>
        <v>-8955.7505263157873</v>
      </c>
      <c r="H103" s="3">
        <f>$H$21</f>
        <v>26044.249473684213</v>
      </c>
      <c r="I103" s="3">
        <f>$I$21</f>
        <v>26044.249473684213</v>
      </c>
      <c r="J103" s="3">
        <f>$J$21</f>
        <v>26044.249473684213</v>
      </c>
      <c r="K103" s="3">
        <f>$K$21</f>
        <v>26044.249473684213</v>
      </c>
      <c r="L103" s="3">
        <f>$L$21</f>
        <v>26044.249473684213</v>
      </c>
    </row>
    <row r="104" spans="1:12">
      <c r="A104" s="4" t="s">
        <v>25</v>
      </c>
      <c r="B104" s="4">
        <f>IFERROR(IRR(B103:L103),NA())</f>
        <v>3.4634419106358951</v>
      </c>
    </row>
    <row r="106" spans="1:12">
      <c r="A106" t="s">
        <v>41</v>
      </c>
      <c r="B106" s="4">
        <v>0.9</v>
      </c>
    </row>
    <row r="107" spans="1:12">
      <c r="A107" t="s">
        <v>61</v>
      </c>
      <c r="B107" s="3">
        <f>$B$12*(1-B106)</f>
        <v>4999.9999999999991</v>
      </c>
    </row>
    <row r="108" spans="1:12">
      <c r="A108" s="4" t="s">
        <v>62</v>
      </c>
      <c r="B108" s="3">
        <f>-B107</f>
        <v>-4999.9999999999991</v>
      </c>
      <c r="C108" s="3">
        <f>$C$21</f>
        <v>26044.249473684213</v>
      </c>
      <c r="D108" s="3">
        <f>$D$21</f>
        <v>26044.249473684213</v>
      </c>
      <c r="E108" s="3">
        <f>$E$21</f>
        <v>26044.249473684213</v>
      </c>
      <c r="F108" s="3">
        <f>$F$21</f>
        <v>26044.249473684213</v>
      </c>
      <c r="G108" s="3">
        <f>$G$21</f>
        <v>-8955.7505263157873</v>
      </c>
      <c r="H108" s="3">
        <f>$H$21</f>
        <v>26044.249473684213</v>
      </c>
      <c r="I108" s="3">
        <f>$I$21</f>
        <v>26044.249473684213</v>
      </c>
      <c r="J108" s="3">
        <f>$J$21</f>
        <v>26044.249473684213</v>
      </c>
      <c r="K108" s="3">
        <f>$K$21</f>
        <v>26044.249473684213</v>
      </c>
      <c r="L108" s="3">
        <f>$L$21</f>
        <v>26044.249473684213</v>
      </c>
    </row>
    <row r="109" spans="1:12">
      <c r="A109" s="4" t="s">
        <v>25</v>
      </c>
      <c r="B109" s="4">
        <f>IFERROR(IRR(B108:L108),NA())</f>
        <v>5.2048885165317236</v>
      </c>
    </row>
    <row r="111" spans="1:12">
      <c r="A111" t="s">
        <v>41</v>
      </c>
      <c r="B111" s="4">
        <v>0.95</v>
      </c>
    </row>
    <row r="112" spans="1:12">
      <c r="A112" t="s">
        <v>61</v>
      </c>
      <c r="B112" s="3">
        <f>$B$12*(1-B111)</f>
        <v>2500.0000000000023</v>
      </c>
    </row>
    <row r="113" spans="1:20">
      <c r="A113" s="4" t="s">
        <v>62</v>
      </c>
      <c r="B113" s="3">
        <f>-B112</f>
        <v>-2500.0000000000023</v>
      </c>
      <c r="C113" s="3">
        <f>$C$21</f>
        <v>26044.249473684213</v>
      </c>
      <c r="D113" s="3">
        <f>$D$21</f>
        <v>26044.249473684213</v>
      </c>
      <c r="E113" s="3">
        <f>$E$21</f>
        <v>26044.249473684213</v>
      </c>
      <c r="F113" s="3">
        <f>$F$21</f>
        <v>26044.249473684213</v>
      </c>
      <c r="G113" s="3">
        <f>$G$21</f>
        <v>-8955.7505263157873</v>
      </c>
      <c r="H113" s="3">
        <f>$H$21</f>
        <v>26044.249473684213</v>
      </c>
      <c r="I113" s="3">
        <f>$I$21</f>
        <v>26044.249473684213</v>
      </c>
      <c r="J113" s="3">
        <f>$J$21</f>
        <v>26044.249473684213</v>
      </c>
      <c r="K113" s="3">
        <f>$K$21</f>
        <v>26044.249473684213</v>
      </c>
      <c r="L113" s="3">
        <f>$L$21</f>
        <v>26044.249473684213</v>
      </c>
    </row>
    <row r="114" spans="1:20">
      <c r="A114" s="4" t="s">
        <v>25</v>
      </c>
      <c r="B114" s="4">
        <f>IFERROR(IRR(B113:L113),NA())</f>
        <v>10.416947961321718</v>
      </c>
    </row>
    <row r="116" spans="1:20">
      <c r="A116" t="s">
        <v>41</v>
      </c>
      <c r="B116" s="4">
        <v>1</v>
      </c>
    </row>
    <row r="117" spans="1:20">
      <c r="A117" t="s">
        <v>61</v>
      </c>
      <c r="B117" s="3">
        <f>$B$12*(1-B116)</f>
        <v>0</v>
      </c>
    </row>
    <row r="118" spans="1:20">
      <c r="A118" s="4" t="s">
        <v>62</v>
      </c>
      <c r="B118" s="3">
        <f>-B117</f>
        <v>0</v>
      </c>
      <c r="C118" s="3">
        <f>$C$21</f>
        <v>26044.249473684213</v>
      </c>
      <c r="D118" s="3">
        <f>$D$21</f>
        <v>26044.249473684213</v>
      </c>
      <c r="E118" s="3">
        <f>$E$21</f>
        <v>26044.249473684213</v>
      </c>
      <c r="F118" s="3">
        <f>$F$21</f>
        <v>26044.249473684213</v>
      </c>
      <c r="G118" s="3">
        <f>$G$21</f>
        <v>-8955.7505263157873</v>
      </c>
      <c r="H118" s="3">
        <f>$H$21</f>
        <v>26044.249473684213</v>
      </c>
      <c r="I118" s="3">
        <f>$I$21</f>
        <v>26044.249473684213</v>
      </c>
      <c r="J118" s="3">
        <f>$J$21</f>
        <v>26044.249473684213</v>
      </c>
      <c r="K118" s="3">
        <f>$K$21</f>
        <v>26044.249473684213</v>
      </c>
      <c r="L118" s="3">
        <f>$L$21</f>
        <v>26044.249473684213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63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>
        <f>B29</f>
        <v>0.5201399994209368</v>
      </c>
      <c r="C124" s="4">
        <f>B34</f>
        <v>0.55513746028782029</v>
      </c>
      <c r="D124" s="4">
        <f>B39</f>
        <v>0.59450735576662783</v>
      </c>
      <c r="E124" s="4">
        <f>B44</f>
        <v>0.63913857054525169</v>
      </c>
      <c r="F124" s="4">
        <f>B49</f>
        <v>0.69017162149722822</v>
      </c>
      <c r="G124" s="4">
        <f>B54</f>
        <v>0.74909300580252958</v>
      </c>
      <c r="H124" s="4">
        <f>B59</f>
        <v>0.8178757309788478</v>
      </c>
      <c r="I124" s="4">
        <f>B64</f>
        <v>0.89919527352533057</v>
      </c>
      <c r="J124" s="4">
        <f>B69</f>
        <v>0.996773776830711</v>
      </c>
      <c r="K124" s="4">
        <f>B74</f>
        <v>1.1159525982890384</v>
      </c>
      <c r="L124" s="4">
        <f>B79</f>
        <v>1.264694087874334</v>
      </c>
      <c r="M124" s="4">
        <f>B84</f>
        <v>1.4554441955202071</v>
      </c>
      <c r="N124" s="4">
        <f>B89</f>
        <v>1.7088648799209074</v>
      </c>
      <c r="O124" s="4">
        <f>B94</f>
        <v>2.062063082430194</v>
      </c>
      <c r="P124" s="4">
        <f>B99</f>
        <v>2.5892035940341134</v>
      </c>
      <c r="Q124" s="4">
        <f>B104</f>
        <v>3.4634419106358951</v>
      </c>
      <c r="R124" s="4">
        <f>B109</f>
        <v>5.2048885165317236</v>
      </c>
      <c r="S124" s="4">
        <f>B114</f>
        <v>10.416947961321718</v>
      </c>
      <c r="T124" s="4" t="e">
        <f>B119</f>
        <v>#N/A</v>
      </c>
    </row>
    <row r="125" spans="1:20">
      <c r="A125" t="s">
        <v>64</v>
      </c>
      <c r="B125" s="4" t="e">
        <f>LOOKUP('IRR inputs &amp; outputs'!B18, B124:P124, B123:P123)</f>
        <v>#N/A</v>
      </c>
    </row>
    <row r="126" spans="1:20">
      <c r="A126" t="s">
        <v>65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8907B-B7B1-4D54-B4DD-194926EF20CC}">
  <dimension ref="A1:T126"/>
  <sheetViews>
    <sheetView workbookViewId="0">
      <selection activeCell="A17" sqref="A17:L18"/>
    </sheetView>
  </sheetViews>
  <sheetFormatPr defaultRowHeight="14.25"/>
  <cols>
    <col min="1" max="1" width="14.7109375" bestFit="1" customWidth="1"/>
  </cols>
  <sheetData>
    <row r="1" spans="1:15">
      <c r="A1" s="1" t="s">
        <v>24</v>
      </c>
      <c r="B1" s="5">
        <v>0.3</v>
      </c>
    </row>
    <row r="2" spans="1:15">
      <c r="A2" t="s">
        <v>44</v>
      </c>
      <c r="B2">
        <f>24*365</f>
        <v>8760</v>
      </c>
    </row>
    <row r="3" spans="1:15">
      <c r="A3" t="s">
        <v>45</v>
      </c>
      <c r="B3">
        <f>B2*B1*'IRR inputs &amp; outputs'!B2*'IRR inputs &amp; outputs'!B3*'IRR inputs &amp; outputs'!$B$7</f>
        <v>130348.8</v>
      </c>
      <c r="C3" t="s">
        <v>46</v>
      </c>
    </row>
    <row r="5" spans="1:15">
      <c r="A5" s="1" t="s">
        <v>47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48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49</v>
      </c>
      <c r="B7" s="2"/>
      <c r="C7" s="2">
        <f>$B$3*'IRR inputs &amp; outputs'!$B$13</f>
        <v>71691.840000000011</v>
      </c>
      <c r="D7" s="2">
        <f>$B$3*'IRR inputs &amp; outputs'!$B$13</f>
        <v>71691.840000000011</v>
      </c>
      <c r="E7" s="2">
        <f>$B$3*'IRR inputs &amp; outputs'!$B$13</f>
        <v>71691.840000000011</v>
      </c>
      <c r="F7" s="2">
        <f>$B$3*'IRR inputs &amp; outputs'!$B$13</f>
        <v>71691.840000000011</v>
      </c>
      <c r="G7" s="2">
        <f>$B$3*'IRR inputs &amp; outputs'!$B$13</f>
        <v>71691.840000000011</v>
      </c>
      <c r="H7" s="2">
        <f>$B$3*'IRR inputs &amp; outputs'!$B$13</f>
        <v>71691.840000000011</v>
      </c>
      <c r="I7" s="2">
        <f>$B$3*'IRR inputs &amp; outputs'!$B$13</f>
        <v>71691.840000000011</v>
      </c>
      <c r="J7" s="2">
        <f>$B$3*'IRR inputs &amp; outputs'!$B$13</f>
        <v>71691.840000000011</v>
      </c>
      <c r="K7" s="2">
        <f>$B$3*'IRR inputs &amp; outputs'!$B$13</f>
        <v>71691.840000000011</v>
      </c>
      <c r="L7" s="2">
        <f>$B$3*'IRR inputs &amp; outputs'!$B$13</f>
        <v>71691.840000000011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50</v>
      </c>
      <c r="B9" s="2"/>
      <c r="C9" s="2">
        <f t="shared" ref="C9:L9" si="0">SUM(C7:C8)</f>
        <v>71691.840000000011</v>
      </c>
      <c r="D9" s="2">
        <f t="shared" si="0"/>
        <v>71691.840000000011</v>
      </c>
      <c r="E9" s="2">
        <f t="shared" si="0"/>
        <v>71691.840000000011</v>
      </c>
      <c r="F9" s="2">
        <f t="shared" si="0"/>
        <v>71691.840000000011</v>
      </c>
      <c r="G9" s="2">
        <f t="shared" si="0"/>
        <v>71691.840000000011</v>
      </c>
      <c r="H9" s="2">
        <f t="shared" si="0"/>
        <v>71691.840000000011</v>
      </c>
      <c r="I9" s="2">
        <f t="shared" si="0"/>
        <v>71691.840000000011</v>
      </c>
      <c r="J9" s="2">
        <f t="shared" si="0"/>
        <v>71691.840000000011</v>
      </c>
      <c r="K9" s="2">
        <f t="shared" si="0"/>
        <v>71691.840000000011</v>
      </c>
      <c r="L9" s="2">
        <f t="shared" si="0"/>
        <v>71691.840000000011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51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50000</v>
      </c>
      <c r="C12" s="2"/>
      <c r="D12" s="2"/>
      <c r="E12" s="2"/>
      <c r="F12" s="2"/>
      <c r="G12" s="2">
        <f>'IRR inputs &amp; outputs'!B15</f>
        <v>35000</v>
      </c>
      <c r="H12" s="2"/>
      <c r="I12" s="2"/>
      <c r="J12" s="2"/>
      <c r="K12" s="2"/>
      <c r="L12" s="2"/>
    </row>
    <row r="13" spans="1:15">
      <c r="A13" t="s">
        <v>52</v>
      </c>
      <c r="B13" s="2">
        <f>'IRR inputs &amp; outputs'!B16</f>
        <v>1000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53</v>
      </c>
      <c r="B14" s="2"/>
      <c r="C14" s="2">
        <f>'IRR inputs &amp; outputs'!$B$17</f>
        <v>5000</v>
      </c>
      <c r="D14" s="2">
        <f>'IRR inputs &amp; outputs'!$B$17</f>
        <v>5000</v>
      </c>
      <c r="E14" s="2">
        <f>'IRR inputs &amp; outputs'!$B$17</f>
        <v>5000</v>
      </c>
      <c r="F14" s="2">
        <f>'IRR inputs &amp; outputs'!$B$17</f>
        <v>5000</v>
      </c>
      <c r="G14" s="2">
        <f>'IRR inputs &amp; outputs'!$B$17</f>
        <v>5000</v>
      </c>
      <c r="H14" s="2">
        <f>'IRR inputs &amp; outputs'!$B$17</f>
        <v>5000</v>
      </c>
      <c r="I14" s="2">
        <f>'IRR inputs &amp; outputs'!$B$17</f>
        <v>5000</v>
      </c>
      <c r="J14" s="2">
        <f>'IRR inputs &amp; outputs'!$B$17</f>
        <v>5000</v>
      </c>
      <c r="K14" s="2">
        <f>'IRR inputs &amp; outputs'!$B$17</f>
        <v>5000</v>
      </c>
      <c r="L14" s="2">
        <f>'IRR inputs &amp; outputs'!$B$17</f>
        <v>5000</v>
      </c>
    </row>
    <row r="15" spans="1:15">
      <c r="A15" t="s">
        <v>54</v>
      </c>
      <c r="B15" s="2"/>
      <c r="C15" s="2">
        <f>'IRR inputs &amp; outputs'!B14</f>
        <v>750</v>
      </c>
      <c r="D15" s="2">
        <f>'IRR inputs &amp; outputs'!B14</f>
        <v>750</v>
      </c>
      <c r="E15" s="2">
        <f>'IRR inputs &amp; outputs'!B14</f>
        <v>750</v>
      </c>
      <c r="F15" s="2">
        <f>'IRR inputs &amp; outputs'!B14</f>
        <v>750</v>
      </c>
      <c r="G15" s="2">
        <f>'IRR inputs &amp; outputs'!B14</f>
        <v>750</v>
      </c>
      <c r="H15" s="2">
        <f>'IRR inputs &amp; outputs'!B14</f>
        <v>750</v>
      </c>
      <c r="I15" s="2">
        <f>'IRR inputs &amp; outputs'!B14</f>
        <v>750</v>
      </c>
      <c r="J15" s="2">
        <f>'IRR inputs &amp; outputs'!B14</f>
        <v>750</v>
      </c>
      <c r="K15" s="2">
        <f>'IRR inputs &amp; outputs'!B14</f>
        <v>750</v>
      </c>
      <c r="L15" s="2">
        <f>'IRR inputs &amp; outputs'!B14</f>
        <v>750</v>
      </c>
    </row>
    <row r="16" spans="1:15">
      <c r="A16" t="s">
        <v>55</v>
      </c>
      <c r="B16" s="2"/>
      <c r="C16" s="2">
        <f>(1/'IRR inputs &amp; outputs'!$B$8)*$B$3*'IRR inputs &amp; outputs'!$B$9+'IRR inputs &amp; outputs'!$B$10</f>
        <v>27441.852631578946</v>
      </c>
      <c r="D16" s="2">
        <f>(1/'IRR inputs &amp; outputs'!$B$8)*$B$3*'IRR inputs &amp; outputs'!$B$9+'IRR inputs &amp; outputs'!$B$10</f>
        <v>27441.852631578946</v>
      </c>
      <c r="E16" s="2">
        <f>(1/'IRR inputs &amp; outputs'!$B$8)*$B$3*'IRR inputs &amp; outputs'!$B$9+'IRR inputs &amp; outputs'!$B$10</f>
        <v>27441.852631578946</v>
      </c>
      <c r="F16" s="2">
        <f>(1/'IRR inputs &amp; outputs'!$B$8)*$B$3*'IRR inputs &amp; outputs'!$B$9+'IRR inputs &amp; outputs'!$B$10</f>
        <v>27441.852631578946</v>
      </c>
      <c r="G16" s="2">
        <f>(1/'IRR inputs &amp; outputs'!$B$8)*$B$3*'IRR inputs &amp; outputs'!$B$9+'IRR inputs &amp; outputs'!$B$10</f>
        <v>27441.852631578946</v>
      </c>
      <c r="H16" s="2">
        <f>(1/'IRR inputs &amp; outputs'!$B$8)*$B$3*'IRR inputs &amp; outputs'!$B$9+'IRR inputs &amp; outputs'!$B$10</f>
        <v>27441.852631578946</v>
      </c>
      <c r="I16" s="2">
        <f>(1/'IRR inputs &amp; outputs'!$B$8)*$B$3*'IRR inputs &amp; outputs'!$B$9+'IRR inputs &amp; outputs'!$B$10</f>
        <v>27441.852631578946</v>
      </c>
      <c r="J16" s="2">
        <f>(1/'IRR inputs &amp; outputs'!$B$8)*$B$3*'IRR inputs &amp; outputs'!$B$9+'IRR inputs &amp; outputs'!$B$10</f>
        <v>27441.852631578946</v>
      </c>
      <c r="K16" s="2">
        <f>(1/'IRR inputs &amp; outputs'!$B$8)*$B$3*'IRR inputs &amp; outputs'!$B$9+'IRR inputs &amp; outputs'!$B$10</f>
        <v>27441.852631578946</v>
      </c>
      <c r="L16" s="2">
        <f>(1/'IRR inputs &amp; outputs'!$B$8)*$B$3*'IRR inputs &amp; outputs'!$B$9+'IRR inputs &amp; outputs'!$B$10</f>
        <v>27441.852631578946</v>
      </c>
    </row>
    <row r="17" spans="1:12">
      <c r="A17" t="s">
        <v>56</v>
      </c>
      <c r="B17" s="2"/>
      <c r="C17" s="46">
        <f>'IRR inputs &amp; outputs'!$B$12</f>
        <v>600</v>
      </c>
      <c r="D17" s="2">
        <f>'IRR inputs &amp; outputs'!$B$12</f>
        <v>600</v>
      </c>
      <c r="E17" s="2">
        <f>'IRR inputs &amp; outputs'!$B$12</f>
        <v>600</v>
      </c>
      <c r="F17" s="2">
        <f>'IRR inputs &amp; outputs'!$B$12</f>
        <v>600</v>
      </c>
      <c r="G17" s="2">
        <f>'IRR inputs &amp; outputs'!$B$12</f>
        <v>600</v>
      </c>
      <c r="H17" s="2">
        <f>'IRR inputs &amp; outputs'!$B$12</f>
        <v>600</v>
      </c>
      <c r="I17" s="2">
        <f>'IRR inputs &amp; outputs'!$B$12</f>
        <v>600</v>
      </c>
      <c r="J17" s="2">
        <f>'IRR inputs &amp; outputs'!$B$12</f>
        <v>600</v>
      </c>
      <c r="K17" s="2">
        <f>'IRR inputs &amp; outputs'!$B$12</f>
        <v>600</v>
      </c>
      <c r="L17" s="2">
        <f>'IRR inputs &amp; outputs'!$B$12</f>
        <v>600</v>
      </c>
    </row>
    <row r="18" spans="1:12">
      <c r="A18" t="s">
        <v>57</v>
      </c>
      <c r="B18" s="2"/>
      <c r="C18" s="2">
        <f>$B$3*'IRR inputs &amp; outputs'!$B$11*'IRR inputs &amp; outputs'!$B$13</f>
        <v>5376.8879999999999</v>
      </c>
      <c r="D18" s="2">
        <f>$B$3*'IRR inputs &amp; outputs'!$B$11*'IRR inputs &amp; outputs'!$B$13</f>
        <v>5376.8879999999999</v>
      </c>
      <c r="E18" s="2">
        <f>$B$3*'IRR inputs &amp; outputs'!$B$11*'IRR inputs &amp; outputs'!$B$13</f>
        <v>5376.8879999999999</v>
      </c>
      <c r="F18" s="2">
        <f>$B$3*'IRR inputs &amp; outputs'!$B$11*'IRR inputs &amp; outputs'!$B$13</f>
        <v>5376.8879999999999</v>
      </c>
      <c r="G18" s="2">
        <f>$B$3*'IRR inputs &amp; outputs'!$B$11*'IRR inputs &amp; outputs'!$B$13</f>
        <v>5376.8879999999999</v>
      </c>
      <c r="H18" s="2">
        <f>$B$3*'IRR inputs &amp; outputs'!$B$11*'IRR inputs &amp; outputs'!$B$13</f>
        <v>5376.8879999999999</v>
      </c>
      <c r="I18" s="2">
        <f>$B$3*'IRR inputs &amp; outputs'!$B$11*'IRR inputs &amp; outputs'!$B$13</f>
        <v>5376.8879999999999</v>
      </c>
      <c r="J18" s="2">
        <f>$B$3*'IRR inputs &amp; outputs'!$B$11*'IRR inputs &amp; outputs'!$B$13</f>
        <v>5376.8879999999999</v>
      </c>
      <c r="K18" s="2">
        <f>$B$3*'IRR inputs &amp; outputs'!$B$11*'IRR inputs &amp; outputs'!$B$13</f>
        <v>5376.8879999999999</v>
      </c>
      <c r="L18" s="2">
        <f>$B$3*'IRR inputs &amp; outputs'!$B$11*'IRR inputs &amp; outputs'!$B$13</f>
        <v>5376.8879999999999</v>
      </c>
    </row>
    <row r="19" spans="1:12">
      <c r="A19" t="s">
        <v>58</v>
      </c>
      <c r="B19" s="3">
        <f t="shared" ref="B19:L19" si="1">SUM(B12:B18)</f>
        <v>51000</v>
      </c>
      <c r="C19" s="3">
        <f t="shared" si="1"/>
        <v>39168.740631578949</v>
      </c>
      <c r="D19" s="3">
        <f t="shared" si="1"/>
        <v>39168.740631578949</v>
      </c>
      <c r="E19" s="3">
        <f t="shared" si="1"/>
        <v>39168.740631578949</v>
      </c>
      <c r="F19" s="3">
        <f t="shared" si="1"/>
        <v>39168.740631578949</v>
      </c>
      <c r="G19" s="3">
        <f t="shared" si="1"/>
        <v>74168.740631578956</v>
      </c>
      <c r="H19" s="3">
        <f t="shared" si="1"/>
        <v>39168.740631578949</v>
      </c>
      <c r="I19" s="3">
        <f t="shared" si="1"/>
        <v>39168.740631578949</v>
      </c>
      <c r="J19" s="3">
        <f t="shared" si="1"/>
        <v>39168.740631578949</v>
      </c>
      <c r="K19" s="3">
        <f t="shared" si="1"/>
        <v>39168.740631578949</v>
      </c>
      <c r="L19" s="3">
        <f t="shared" si="1"/>
        <v>39168.740631578949</v>
      </c>
    </row>
    <row r="21" spans="1:12">
      <c r="A21" t="s">
        <v>59</v>
      </c>
      <c r="B21" s="3">
        <f t="shared" ref="B21:L21" si="2">B9-B19</f>
        <v>-51000</v>
      </c>
      <c r="C21" s="3">
        <f t="shared" si="2"/>
        <v>32523.099368421063</v>
      </c>
      <c r="D21" s="3">
        <f t="shared" si="2"/>
        <v>32523.099368421063</v>
      </c>
      <c r="E21" s="3">
        <f t="shared" si="2"/>
        <v>32523.099368421063</v>
      </c>
      <c r="F21" s="3">
        <f t="shared" si="2"/>
        <v>32523.099368421063</v>
      </c>
      <c r="G21" s="3">
        <f t="shared" si="2"/>
        <v>-2476.9006315789447</v>
      </c>
      <c r="H21" s="3">
        <f t="shared" si="2"/>
        <v>32523.099368421063</v>
      </c>
      <c r="I21" s="3">
        <f t="shared" si="2"/>
        <v>32523.099368421063</v>
      </c>
      <c r="J21" s="3">
        <f t="shared" si="2"/>
        <v>32523.099368421063</v>
      </c>
      <c r="K21" s="3">
        <f t="shared" si="2"/>
        <v>32523.099368421063</v>
      </c>
      <c r="L21" s="3">
        <f t="shared" si="2"/>
        <v>32523.099368421063</v>
      </c>
    </row>
    <row r="23" spans="1:12">
      <c r="A23" t="s">
        <v>25</v>
      </c>
      <c r="B23" s="4">
        <f>IFERROR(IRR(B21:L21),NA())</f>
        <v>0.59186846101973511</v>
      </c>
    </row>
    <row r="25" spans="1:12">
      <c r="A25" s="1" t="s">
        <v>60</v>
      </c>
    </row>
    <row r="26" spans="1:12">
      <c r="A26" t="s">
        <v>41</v>
      </c>
      <c r="B26" s="4">
        <v>0.1</v>
      </c>
    </row>
    <row r="27" spans="1:12">
      <c r="A27" t="s">
        <v>61</v>
      </c>
      <c r="B27" s="3">
        <f>$B$12*(1-B26)</f>
        <v>45000</v>
      </c>
    </row>
    <row r="28" spans="1:12">
      <c r="A28" s="4" t="s">
        <v>62</v>
      </c>
      <c r="B28" s="3">
        <f>-B27</f>
        <v>-45000</v>
      </c>
      <c r="C28" s="3">
        <f>$C$21</f>
        <v>32523.099368421063</v>
      </c>
      <c r="D28" s="3">
        <f>$D$21</f>
        <v>32523.099368421063</v>
      </c>
      <c r="E28" s="3">
        <f>$E$21</f>
        <v>32523.099368421063</v>
      </c>
      <c r="F28" s="3">
        <f>$F$21</f>
        <v>32523.099368421063</v>
      </c>
      <c r="G28" s="3">
        <f>$G$21</f>
        <v>-2476.9006315789447</v>
      </c>
      <c r="H28" s="3">
        <f>$H$21</f>
        <v>32523.099368421063</v>
      </c>
      <c r="I28" s="3">
        <f>$I$21</f>
        <v>32523.099368421063</v>
      </c>
      <c r="J28" s="3">
        <f>$J$21</f>
        <v>32523.099368421063</v>
      </c>
      <c r="K28" s="3">
        <f>$K$21</f>
        <v>32523.099368421063</v>
      </c>
      <c r="L28" s="3">
        <f>$L$21</f>
        <v>32523.099368421063</v>
      </c>
    </row>
    <row r="29" spans="1:12">
      <c r="A29" s="4" t="s">
        <v>25</v>
      </c>
      <c r="B29" s="4">
        <f>IFERROR(IRR(B28:L28),NA())</f>
        <v>0.67910521465596618</v>
      </c>
    </row>
    <row r="30" spans="1:12">
      <c r="A30" s="4"/>
      <c r="B30" s="3"/>
    </row>
    <row r="31" spans="1:12">
      <c r="A31" t="s">
        <v>41</v>
      </c>
      <c r="B31" s="4">
        <v>0.15</v>
      </c>
    </row>
    <row r="32" spans="1:12">
      <c r="A32" t="s">
        <v>61</v>
      </c>
      <c r="B32" s="3">
        <f>$B$12*(1-B31)</f>
        <v>42500</v>
      </c>
    </row>
    <row r="33" spans="1:12">
      <c r="A33" s="4" t="s">
        <v>62</v>
      </c>
      <c r="B33" s="3">
        <f>-B32</f>
        <v>-42500</v>
      </c>
      <c r="C33" s="3">
        <f>$C$21</f>
        <v>32523.099368421063</v>
      </c>
      <c r="D33" s="3">
        <f>$D$21</f>
        <v>32523.099368421063</v>
      </c>
      <c r="E33" s="3">
        <f>$E$21</f>
        <v>32523.099368421063</v>
      </c>
      <c r="F33" s="3">
        <f>$F$21</f>
        <v>32523.099368421063</v>
      </c>
      <c r="G33" s="3">
        <f>$G$21</f>
        <v>-2476.9006315789447</v>
      </c>
      <c r="H33" s="3">
        <f>$H$21</f>
        <v>32523.099368421063</v>
      </c>
      <c r="I33" s="3">
        <f>$I$21</f>
        <v>32523.099368421063</v>
      </c>
      <c r="J33" s="3">
        <f>$J$21</f>
        <v>32523.099368421063</v>
      </c>
      <c r="K33" s="3">
        <f>$K$21</f>
        <v>32523.099368421063</v>
      </c>
      <c r="L33" s="3">
        <f>$L$21</f>
        <v>32523.099368421063</v>
      </c>
    </row>
    <row r="34" spans="1:12">
      <c r="A34" s="4" t="s">
        <v>25</v>
      </c>
      <c r="B34" s="4">
        <f>IFERROR(IRR(B33:L33),NA())</f>
        <v>0.72269750890785533</v>
      </c>
    </row>
    <row r="35" spans="1:12">
      <c r="A35" s="4"/>
      <c r="B35" s="3"/>
    </row>
    <row r="36" spans="1:12">
      <c r="A36" t="s">
        <v>41</v>
      </c>
      <c r="B36" s="4">
        <v>0.2</v>
      </c>
    </row>
    <row r="37" spans="1:12">
      <c r="A37" t="s">
        <v>61</v>
      </c>
      <c r="B37" s="3">
        <f>$B$12*(1-B36)</f>
        <v>40000</v>
      </c>
    </row>
    <row r="38" spans="1:12">
      <c r="A38" s="4" t="s">
        <v>62</v>
      </c>
      <c r="B38" s="3">
        <f>-B37</f>
        <v>-40000</v>
      </c>
      <c r="C38" s="3">
        <f>$C$21</f>
        <v>32523.099368421063</v>
      </c>
      <c r="D38" s="3">
        <f>$D$21</f>
        <v>32523.099368421063</v>
      </c>
      <c r="E38" s="3">
        <f>$E$21</f>
        <v>32523.099368421063</v>
      </c>
      <c r="F38" s="3">
        <f>$F$21</f>
        <v>32523.099368421063</v>
      </c>
      <c r="G38" s="3">
        <f>$G$21</f>
        <v>-2476.9006315789447</v>
      </c>
      <c r="H38" s="3">
        <f>$H$21</f>
        <v>32523.099368421063</v>
      </c>
      <c r="I38" s="3">
        <f>$I$21</f>
        <v>32523.099368421063</v>
      </c>
      <c r="J38" s="3">
        <f>$J$21</f>
        <v>32523.099368421063</v>
      </c>
      <c r="K38" s="3">
        <f>$K$21</f>
        <v>32523.099368421063</v>
      </c>
      <c r="L38" s="3">
        <f>$L$21</f>
        <v>32523.099368421063</v>
      </c>
    </row>
    <row r="39" spans="1:12">
      <c r="A39" s="4" t="s">
        <v>25</v>
      </c>
      <c r="B39" s="4">
        <f>IFERROR(IRR(B38:L38),NA())</f>
        <v>0.77172970684520625</v>
      </c>
    </row>
    <row r="41" spans="1:12">
      <c r="A41" t="s">
        <v>41</v>
      </c>
      <c r="B41" s="4">
        <v>0.25</v>
      </c>
    </row>
    <row r="42" spans="1:12">
      <c r="A42" t="s">
        <v>61</v>
      </c>
      <c r="B42" s="3">
        <f>$B$12*(1-B41)</f>
        <v>37500</v>
      </c>
    </row>
    <row r="43" spans="1:12">
      <c r="A43" s="4" t="s">
        <v>62</v>
      </c>
      <c r="B43" s="3">
        <f>-B42</f>
        <v>-37500</v>
      </c>
      <c r="C43" s="3">
        <f>$C$21</f>
        <v>32523.099368421063</v>
      </c>
      <c r="D43" s="3">
        <f>$D$21</f>
        <v>32523.099368421063</v>
      </c>
      <c r="E43" s="3">
        <f>$E$21</f>
        <v>32523.099368421063</v>
      </c>
      <c r="F43" s="3">
        <f>$F$21</f>
        <v>32523.099368421063</v>
      </c>
      <c r="G43" s="3">
        <f>$G$21</f>
        <v>-2476.9006315789447</v>
      </c>
      <c r="H43" s="3">
        <f>$H$21</f>
        <v>32523.099368421063</v>
      </c>
      <c r="I43" s="3">
        <f>$I$21</f>
        <v>32523.099368421063</v>
      </c>
      <c r="J43" s="3">
        <f>$J$21</f>
        <v>32523.099368421063</v>
      </c>
      <c r="K43" s="3">
        <f>$K$21</f>
        <v>32523.099368421063</v>
      </c>
      <c r="L43" s="3">
        <f>$L$21</f>
        <v>32523.099368421063</v>
      </c>
    </row>
    <row r="44" spans="1:12">
      <c r="A44" s="4" t="s">
        <v>25</v>
      </c>
      <c r="B44" s="4">
        <f>IFERROR(IRR(B43:L43),NA())</f>
        <v>0.827291475993017</v>
      </c>
    </row>
    <row r="46" spans="1:12">
      <c r="A46" t="s">
        <v>41</v>
      </c>
      <c r="B46" s="4">
        <v>0.3</v>
      </c>
    </row>
    <row r="47" spans="1:12">
      <c r="A47" t="s">
        <v>61</v>
      </c>
      <c r="B47" s="3">
        <f>$B$12*(1-B46)</f>
        <v>35000</v>
      </c>
    </row>
    <row r="48" spans="1:12">
      <c r="A48" s="4" t="s">
        <v>62</v>
      </c>
      <c r="B48" s="3">
        <f>-B47</f>
        <v>-35000</v>
      </c>
      <c r="C48" s="3">
        <f>$C$21</f>
        <v>32523.099368421063</v>
      </c>
      <c r="D48" s="3">
        <f>$D$21</f>
        <v>32523.099368421063</v>
      </c>
      <c r="E48" s="3">
        <f>$E$21</f>
        <v>32523.099368421063</v>
      </c>
      <c r="F48" s="3">
        <f>$F$21</f>
        <v>32523.099368421063</v>
      </c>
      <c r="G48" s="3">
        <f>$G$21</f>
        <v>-2476.9006315789447</v>
      </c>
      <c r="H48" s="3">
        <f>$H$21</f>
        <v>32523.099368421063</v>
      </c>
      <c r="I48" s="3">
        <f>$I$21</f>
        <v>32523.099368421063</v>
      </c>
      <c r="J48" s="3">
        <f>$J$21</f>
        <v>32523.099368421063</v>
      </c>
      <c r="K48" s="3">
        <f>$K$21</f>
        <v>32523.099368421063</v>
      </c>
      <c r="L48" s="3">
        <f>$L$21</f>
        <v>32523.099368421063</v>
      </c>
    </row>
    <row r="49" spans="1:12">
      <c r="A49" s="4" t="s">
        <v>25</v>
      </c>
      <c r="B49" s="4">
        <f>IFERROR(IRR(B48:L48),NA())</f>
        <v>0.89077934884362286</v>
      </c>
    </row>
    <row r="51" spans="1:12">
      <c r="A51" t="s">
        <v>41</v>
      </c>
      <c r="B51" s="4">
        <v>0.35</v>
      </c>
    </row>
    <row r="52" spans="1:12">
      <c r="A52" t="s">
        <v>61</v>
      </c>
      <c r="B52" s="3">
        <f>$B$12*(1-B51)</f>
        <v>32500</v>
      </c>
    </row>
    <row r="53" spans="1:12">
      <c r="A53" s="4" t="s">
        <v>62</v>
      </c>
      <c r="B53" s="3">
        <f>-B52</f>
        <v>-32500</v>
      </c>
      <c r="C53" s="3">
        <f>$C$21</f>
        <v>32523.099368421063</v>
      </c>
      <c r="D53" s="3">
        <f>$D$21</f>
        <v>32523.099368421063</v>
      </c>
      <c r="E53" s="3">
        <f>$E$21</f>
        <v>32523.099368421063</v>
      </c>
      <c r="F53" s="3">
        <f>$F$21</f>
        <v>32523.099368421063</v>
      </c>
      <c r="G53" s="3">
        <f>$G$21</f>
        <v>-2476.9006315789447</v>
      </c>
      <c r="H53" s="3">
        <f>$H$21</f>
        <v>32523.099368421063</v>
      </c>
      <c r="I53" s="3">
        <f>$I$21</f>
        <v>32523.099368421063</v>
      </c>
      <c r="J53" s="3">
        <f>$J$21</f>
        <v>32523.099368421063</v>
      </c>
      <c r="K53" s="3">
        <f>$K$21</f>
        <v>32523.099368421063</v>
      </c>
      <c r="L53" s="3">
        <f>$L$21</f>
        <v>32523.099368421063</v>
      </c>
    </row>
    <row r="54" spans="1:12">
      <c r="A54" s="4" t="s">
        <v>25</v>
      </c>
      <c r="B54" s="4">
        <f>IFERROR(IRR(B53:L53),NA())</f>
        <v>0.96401295958311661</v>
      </c>
    </row>
    <row r="56" spans="1:12">
      <c r="A56" t="s">
        <v>41</v>
      </c>
      <c r="B56" s="4">
        <v>0.4</v>
      </c>
    </row>
    <row r="57" spans="1:12">
      <c r="A57" t="s">
        <v>61</v>
      </c>
      <c r="B57" s="3">
        <f>$B$12*(1-B56)</f>
        <v>30000</v>
      </c>
    </row>
    <row r="58" spans="1:12">
      <c r="A58" s="4" t="s">
        <v>62</v>
      </c>
      <c r="B58" s="3">
        <f>-B57</f>
        <v>-30000</v>
      </c>
      <c r="C58" s="3">
        <f>$C$21</f>
        <v>32523.099368421063</v>
      </c>
      <c r="D58" s="3">
        <f>$D$21</f>
        <v>32523.099368421063</v>
      </c>
      <c r="E58" s="3">
        <f>$E$21</f>
        <v>32523.099368421063</v>
      </c>
      <c r="F58" s="3">
        <f>$F$21</f>
        <v>32523.099368421063</v>
      </c>
      <c r="G58" s="3">
        <f>$G$21</f>
        <v>-2476.9006315789447</v>
      </c>
      <c r="H58" s="3">
        <f>$H$21</f>
        <v>32523.099368421063</v>
      </c>
      <c r="I58" s="3">
        <f>$I$21</f>
        <v>32523.099368421063</v>
      </c>
      <c r="J58" s="3">
        <f>$J$21</f>
        <v>32523.099368421063</v>
      </c>
      <c r="K58" s="3">
        <f>$K$21</f>
        <v>32523.099368421063</v>
      </c>
      <c r="L58" s="3">
        <f>$L$21</f>
        <v>32523.099368421063</v>
      </c>
    </row>
    <row r="59" spans="1:12">
      <c r="A59" s="4" t="s">
        <v>25</v>
      </c>
      <c r="B59" s="4">
        <f>IFERROR(IRR(B58:L58),NA())</f>
        <v>1.0494090890874457</v>
      </c>
    </row>
    <row r="61" spans="1:12">
      <c r="A61" t="s">
        <v>41</v>
      </c>
      <c r="B61" s="4">
        <v>0.45</v>
      </c>
    </row>
    <row r="62" spans="1:12">
      <c r="A62" t="s">
        <v>61</v>
      </c>
      <c r="B62" s="3">
        <f>$B$12*(1-B61)</f>
        <v>27500.000000000004</v>
      </c>
    </row>
    <row r="63" spans="1:12">
      <c r="A63" s="4" t="s">
        <v>62</v>
      </c>
      <c r="B63" s="3">
        <f>-B62</f>
        <v>-27500.000000000004</v>
      </c>
      <c r="C63" s="3">
        <f>$C$21</f>
        <v>32523.099368421063</v>
      </c>
      <c r="D63" s="3">
        <f>$D$21</f>
        <v>32523.099368421063</v>
      </c>
      <c r="E63" s="3">
        <f>$E$21</f>
        <v>32523.099368421063</v>
      </c>
      <c r="F63" s="3">
        <f>$F$21</f>
        <v>32523.099368421063</v>
      </c>
      <c r="G63" s="3">
        <f>$G$21</f>
        <v>-2476.9006315789447</v>
      </c>
      <c r="H63" s="3">
        <f>$H$21</f>
        <v>32523.099368421063</v>
      </c>
      <c r="I63" s="3">
        <f>$I$21</f>
        <v>32523.099368421063</v>
      </c>
      <c r="J63" s="3">
        <f>$J$21</f>
        <v>32523.099368421063</v>
      </c>
      <c r="K63" s="3">
        <f>$K$21</f>
        <v>32523.099368421063</v>
      </c>
      <c r="L63" s="3">
        <f>$L$21</f>
        <v>32523.099368421063</v>
      </c>
    </row>
    <row r="64" spans="1:12">
      <c r="A64" s="4" t="s">
        <v>25</v>
      </c>
      <c r="B64" s="4">
        <f>IFERROR(IRR(B63:L63),NA())</f>
        <v>1.1502504131900442</v>
      </c>
    </row>
    <row r="66" spans="1:12">
      <c r="A66" t="s">
        <v>41</v>
      </c>
      <c r="B66" s="4">
        <v>0.5</v>
      </c>
    </row>
    <row r="67" spans="1:12">
      <c r="A67" t="s">
        <v>61</v>
      </c>
      <c r="B67" s="3">
        <f>$B$12*(1-B66)</f>
        <v>25000</v>
      </c>
    </row>
    <row r="68" spans="1:12">
      <c r="A68" s="4" t="s">
        <v>62</v>
      </c>
      <c r="B68" s="3">
        <f>-B67</f>
        <v>-25000</v>
      </c>
      <c r="C68" s="3">
        <f>$C$21</f>
        <v>32523.099368421063</v>
      </c>
      <c r="D68" s="3">
        <f>$D$21</f>
        <v>32523.099368421063</v>
      </c>
      <c r="E68" s="3">
        <f>$E$21</f>
        <v>32523.099368421063</v>
      </c>
      <c r="F68" s="3">
        <f>$F$21</f>
        <v>32523.099368421063</v>
      </c>
      <c r="G68" s="3">
        <f>$G$21</f>
        <v>-2476.9006315789447</v>
      </c>
      <c r="H68" s="3">
        <f>$H$21</f>
        <v>32523.099368421063</v>
      </c>
      <c r="I68" s="3">
        <f>$I$21</f>
        <v>32523.099368421063</v>
      </c>
      <c r="J68" s="3">
        <f>$J$21</f>
        <v>32523.099368421063</v>
      </c>
      <c r="K68" s="3">
        <f>$K$21</f>
        <v>32523.099368421063</v>
      </c>
      <c r="L68" s="3">
        <f>$L$21</f>
        <v>32523.099368421063</v>
      </c>
    </row>
    <row r="69" spans="1:12">
      <c r="A69" s="4" t="s">
        <v>25</v>
      </c>
      <c r="B69" s="4">
        <f>IFERROR(IRR(B68:L68),NA())</f>
        <v>1.2711154924703854</v>
      </c>
    </row>
    <row r="71" spans="1:12">
      <c r="A71" t="s">
        <v>41</v>
      </c>
      <c r="B71" s="4">
        <v>0.55000000000000004</v>
      </c>
    </row>
    <row r="72" spans="1:12">
      <c r="A72" t="s">
        <v>61</v>
      </c>
      <c r="B72" s="3">
        <f>$B$12*(1-B71)</f>
        <v>22499.999999999996</v>
      </c>
    </row>
    <row r="73" spans="1:12">
      <c r="A73" s="4" t="s">
        <v>62</v>
      </c>
      <c r="B73" s="3">
        <f>-B72</f>
        <v>-22499.999999999996</v>
      </c>
      <c r="C73" s="3">
        <f>$C$21</f>
        <v>32523.099368421063</v>
      </c>
      <c r="D73" s="3">
        <f>$D$21</f>
        <v>32523.099368421063</v>
      </c>
      <c r="E73" s="3">
        <f>$E$21</f>
        <v>32523.099368421063</v>
      </c>
      <c r="F73" s="3">
        <f>$F$21</f>
        <v>32523.099368421063</v>
      </c>
      <c r="G73" s="3">
        <f>$G$21</f>
        <v>-2476.9006315789447</v>
      </c>
      <c r="H73" s="3">
        <f>$H$21</f>
        <v>32523.099368421063</v>
      </c>
      <c r="I73" s="3">
        <f>$I$21</f>
        <v>32523.099368421063</v>
      </c>
      <c r="J73" s="3">
        <f>$J$21</f>
        <v>32523.099368421063</v>
      </c>
      <c r="K73" s="3">
        <f>$K$21</f>
        <v>32523.099368421063</v>
      </c>
      <c r="L73" s="3">
        <f>$L$21</f>
        <v>32523.099368421063</v>
      </c>
    </row>
    <row r="74" spans="1:12">
      <c r="A74" s="4" t="s">
        <v>25</v>
      </c>
      <c r="B74" s="4">
        <f>IFERROR(IRR(B73:L73),NA())</f>
        <v>1.4185958919921351</v>
      </c>
    </row>
    <row r="76" spans="1:12">
      <c r="A76" t="s">
        <v>41</v>
      </c>
      <c r="B76" s="4">
        <v>0.6</v>
      </c>
    </row>
    <row r="77" spans="1:12">
      <c r="A77" t="s">
        <v>61</v>
      </c>
      <c r="B77" s="3">
        <f>$B$12*(1-B76)</f>
        <v>20000</v>
      </c>
    </row>
    <row r="78" spans="1:12">
      <c r="A78" s="4" t="s">
        <v>62</v>
      </c>
      <c r="B78" s="3">
        <f>-B77</f>
        <v>-20000</v>
      </c>
      <c r="C78" s="3">
        <f>$C$21</f>
        <v>32523.099368421063</v>
      </c>
      <c r="D78" s="3">
        <f>$D$21</f>
        <v>32523.099368421063</v>
      </c>
      <c r="E78" s="3">
        <f>$E$21</f>
        <v>32523.099368421063</v>
      </c>
      <c r="F78" s="3">
        <f>$F$21</f>
        <v>32523.099368421063</v>
      </c>
      <c r="G78" s="3">
        <f>$G$21</f>
        <v>-2476.9006315789447</v>
      </c>
      <c r="H78" s="3">
        <f>$H$21</f>
        <v>32523.099368421063</v>
      </c>
      <c r="I78" s="3">
        <f>$I$21</f>
        <v>32523.099368421063</v>
      </c>
      <c r="J78" s="3">
        <f>$J$21</f>
        <v>32523.099368421063</v>
      </c>
      <c r="K78" s="3">
        <f>$K$21</f>
        <v>32523.099368421063</v>
      </c>
      <c r="L78" s="3">
        <f>$L$21</f>
        <v>32523.099368421063</v>
      </c>
    </row>
    <row r="79" spans="1:12">
      <c r="A79" s="4" t="s">
        <v>25</v>
      </c>
      <c r="B79" s="4">
        <f>IFERROR(IRR(B78:L78),NA())</f>
        <v>1.6025525339064894</v>
      </c>
    </row>
    <row r="81" spans="1:12">
      <c r="A81" t="s">
        <v>41</v>
      </c>
      <c r="B81" s="4">
        <v>0.65</v>
      </c>
    </row>
    <row r="82" spans="1:12">
      <c r="A82" t="s">
        <v>61</v>
      </c>
      <c r="B82" s="3">
        <f>$B$12*(1-B81)</f>
        <v>17500</v>
      </c>
    </row>
    <row r="83" spans="1:12">
      <c r="A83" s="4" t="s">
        <v>62</v>
      </c>
      <c r="B83" s="3">
        <f>-B82</f>
        <v>-17500</v>
      </c>
      <c r="C83" s="3">
        <f>$C$21</f>
        <v>32523.099368421063</v>
      </c>
      <c r="D83" s="3">
        <f>$D$21</f>
        <v>32523.099368421063</v>
      </c>
      <c r="E83" s="3">
        <f>$E$21</f>
        <v>32523.099368421063</v>
      </c>
      <c r="F83" s="3">
        <f>$F$21</f>
        <v>32523.099368421063</v>
      </c>
      <c r="G83" s="3">
        <f>$G$21</f>
        <v>-2476.9006315789447</v>
      </c>
      <c r="H83" s="3">
        <f>$H$21</f>
        <v>32523.099368421063</v>
      </c>
      <c r="I83" s="3">
        <f>$I$21</f>
        <v>32523.099368421063</v>
      </c>
      <c r="J83" s="3">
        <f>$J$21</f>
        <v>32523.099368421063</v>
      </c>
      <c r="K83" s="3">
        <f>$K$21</f>
        <v>32523.099368421063</v>
      </c>
      <c r="L83" s="3">
        <f>$L$21</f>
        <v>32523.099368421063</v>
      </c>
    </row>
    <row r="84" spans="1:12">
      <c r="A84" s="4" t="s">
        <v>25</v>
      </c>
      <c r="B84" s="4">
        <f>IFERROR(IRR(B83:L83),NA())</f>
        <v>1.8384520305338583</v>
      </c>
    </row>
    <row r="86" spans="1:12">
      <c r="A86" t="s">
        <v>41</v>
      </c>
      <c r="B86" s="4">
        <v>0.7</v>
      </c>
    </row>
    <row r="87" spans="1:12">
      <c r="A87" t="s">
        <v>61</v>
      </c>
      <c r="B87" s="3">
        <f>$B$12*(1-B86)</f>
        <v>15000.000000000002</v>
      </c>
    </row>
    <row r="88" spans="1:12">
      <c r="A88" s="4" t="s">
        <v>62</v>
      </c>
      <c r="B88" s="3">
        <f>-B87</f>
        <v>-15000.000000000002</v>
      </c>
      <c r="C88" s="3">
        <f>$C$21</f>
        <v>32523.099368421063</v>
      </c>
      <c r="D88" s="3">
        <f>$D$21</f>
        <v>32523.099368421063</v>
      </c>
      <c r="E88" s="3">
        <f>$E$21</f>
        <v>32523.099368421063</v>
      </c>
      <c r="F88" s="3">
        <f>$F$21</f>
        <v>32523.099368421063</v>
      </c>
      <c r="G88" s="3">
        <f>$G$21</f>
        <v>-2476.9006315789447</v>
      </c>
      <c r="H88" s="3">
        <f>$H$21</f>
        <v>32523.099368421063</v>
      </c>
      <c r="I88" s="3">
        <f>$I$21</f>
        <v>32523.099368421063</v>
      </c>
      <c r="J88" s="3">
        <f>$J$21</f>
        <v>32523.099368421063</v>
      </c>
      <c r="K88" s="3">
        <f>$K$21</f>
        <v>32523.099368421063</v>
      </c>
      <c r="L88" s="3">
        <f>$L$21</f>
        <v>32523.099368421063</v>
      </c>
    </row>
    <row r="89" spans="1:12">
      <c r="A89" s="4" t="s">
        <v>25</v>
      </c>
      <c r="B89" s="4">
        <f>IFERROR(IRR(B88:L88),NA())</f>
        <v>2.1520456311381397</v>
      </c>
    </row>
    <row r="91" spans="1:12">
      <c r="A91" t="s">
        <v>41</v>
      </c>
      <c r="B91" s="4">
        <v>0.75</v>
      </c>
    </row>
    <row r="92" spans="1:12">
      <c r="A92" t="s">
        <v>61</v>
      </c>
      <c r="B92" s="3">
        <f>$B$12*(1-B91)</f>
        <v>12500</v>
      </c>
    </row>
    <row r="93" spans="1:12">
      <c r="A93" s="4" t="s">
        <v>62</v>
      </c>
      <c r="B93" s="3">
        <f>-B92</f>
        <v>-12500</v>
      </c>
      <c r="C93" s="3">
        <f>$C$21</f>
        <v>32523.099368421063</v>
      </c>
      <c r="D93" s="3">
        <f>$D$21</f>
        <v>32523.099368421063</v>
      </c>
      <c r="E93" s="3">
        <f>$E$21</f>
        <v>32523.099368421063</v>
      </c>
      <c r="F93" s="3">
        <f>$F$21</f>
        <v>32523.099368421063</v>
      </c>
      <c r="G93" s="3">
        <f>$G$21</f>
        <v>-2476.9006315789447</v>
      </c>
      <c r="H93" s="3">
        <f>$H$21</f>
        <v>32523.099368421063</v>
      </c>
      <c r="I93" s="3">
        <f>$I$21</f>
        <v>32523.099368421063</v>
      </c>
      <c r="J93" s="3">
        <f>$J$21</f>
        <v>32523.099368421063</v>
      </c>
      <c r="K93" s="3">
        <f>$K$21</f>
        <v>32523.099368421063</v>
      </c>
      <c r="L93" s="3">
        <f>$L$21</f>
        <v>32523.099368421063</v>
      </c>
    </row>
    <row r="94" spans="1:12">
      <c r="A94" s="4" t="s">
        <v>25</v>
      </c>
      <c r="B94" s="4">
        <f>IFERROR(IRR(B93:L93),NA())</f>
        <v>2.5896751931212973</v>
      </c>
    </row>
    <row r="96" spans="1:12">
      <c r="A96" t="s">
        <v>41</v>
      </c>
      <c r="B96" s="4">
        <v>0.8</v>
      </c>
    </row>
    <row r="97" spans="1:12">
      <c r="A97" t="s">
        <v>61</v>
      </c>
      <c r="B97" s="3">
        <f>$B$12*(1-B96)</f>
        <v>9999.9999999999982</v>
      </c>
    </row>
    <row r="98" spans="1:12">
      <c r="A98" s="4" t="s">
        <v>62</v>
      </c>
      <c r="B98" s="3">
        <f>-B97</f>
        <v>-9999.9999999999982</v>
      </c>
      <c r="C98" s="3">
        <f>$C$21</f>
        <v>32523.099368421063</v>
      </c>
      <c r="D98" s="3">
        <f>$D$21</f>
        <v>32523.099368421063</v>
      </c>
      <c r="E98" s="3">
        <f>$E$21</f>
        <v>32523.099368421063</v>
      </c>
      <c r="F98" s="3">
        <f>$F$21</f>
        <v>32523.099368421063</v>
      </c>
      <c r="G98" s="3">
        <f>$G$21</f>
        <v>-2476.9006315789447</v>
      </c>
      <c r="H98" s="3">
        <f>$H$21</f>
        <v>32523.099368421063</v>
      </c>
      <c r="I98" s="3">
        <f>$I$21</f>
        <v>32523.099368421063</v>
      </c>
      <c r="J98" s="3">
        <f>$J$21</f>
        <v>32523.099368421063</v>
      </c>
      <c r="K98" s="3">
        <f>$K$21</f>
        <v>32523.099368421063</v>
      </c>
      <c r="L98" s="3">
        <f>$L$21</f>
        <v>32523.099368421063</v>
      </c>
    </row>
    <row r="99" spans="1:12">
      <c r="A99" s="4" t="s">
        <v>25</v>
      </c>
      <c r="B99" s="4">
        <f>IFERROR(IRR(B98:L98),NA())</f>
        <v>3.2440621223914681</v>
      </c>
    </row>
    <row r="101" spans="1:12">
      <c r="A101" t="s">
        <v>41</v>
      </c>
      <c r="B101" s="4">
        <v>0.85</v>
      </c>
    </row>
    <row r="102" spans="1:12">
      <c r="A102" t="s">
        <v>61</v>
      </c>
      <c r="B102" s="3">
        <f>$B$12*(1-B101)</f>
        <v>7500.0000000000009</v>
      </c>
    </row>
    <row r="103" spans="1:12">
      <c r="A103" s="4" t="s">
        <v>62</v>
      </c>
      <c r="B103" s="3">
        <f>-B102</f>
        <v>-7500.0000000000009</v>
      </c>
      <c r="C103" s="3">
        <f>$C$21</f>
        <v>32523.099368421063</v>
      </c>
      <c r="D103" s="3">
        <f>$D$21</f>
        <v>32523.099368421063</v>
      </c>
      <c r="E103" s="3">
        <f>$E$21</f>
        <v>32523.099368421063</v>
      </c>
      <c r="F103" s="3">
        <f>$F$21</f>
        <v>32523.099368421063</v>
      </c>
      <c r="G103" s="3">
        <f>$G$21</f>
        <v>-2476.9006315789447</v>
      </c>
      <c r="H103" s="3">
        <f>$H$21</f>
        <v>32523.099368421063</v>
      </c>
      <c r="I103" s="3">
        <f>$I$21</f>
        <v>32523.099368421063</v>
      </c>
      <c r="J103" s="3">
        <f>$J$21</f>
        <v>32523.099368421063</v>
      </c>
      <c r="K103" s="3">
        <f>$K$21</f>
        <v>32523.099368421063</v>
      </c>
      <c r="L103" s="3">
        <f>$L$21</f>
        <v>32523.099368421063</v>
      </c>
    </row>
    <row r="104" spans="1:12">
      <c r="A104" s="4" t="s">
        <v>25</v>
      </c>
      <c r="B104" s="4">
        <f>IFERROR(IRR(B103:L103),NA())</f>
        <v>4.3317213171672986</v>
      </c>
    </row>
    <row r="106" spans="1:12">
      <c r="A106" t="s">
        <v>41</v>
      </c>
      <c r="B106" s="4">
        <v>0.9</v>
      </c>
    </row>
    <row r="107" spans="1:12">
      <c r="A107" t="s">
        <v>61</v>
      </c>
      <c r="B107" s="3">
        <f>$B$12*(1-B106)</f>
        <v>4999.9999999999991</v>
      </c>
    </row>
    <row r="108" spans="1:12">
      <c r="A108" s="4" t="s">
        <v>62</v>
      </c>
      <c r="B108" s="3">
        <f>-B107</f>
        <v>-4999.9999999999991</v>
      </c>
      <c r="C108" s="3">
        <f>$C$21</f>
        <v>32523.099368421063</v>
      </c>
      <c r="D108" s="3">
        <f>$D$21</f>
        <v>32523.099368421063</v>
      </c>
      <c r="E108" s="3">
        <f>$E$21</f>
        <v>32523.099368421063</v>
      </c>
      <c r="F108" s="3">
        <f>$F$21</f>
        <v>32523.099368421063</v>
      </c>
      <c r="G108" s="3">
        <f>$G$21</f>
        <v>-2476.9006315789447</v>
      </c>
      <c r="H108" s="3">
        <f>$H$21</f>
        <v>32523.099368421063</v>
      </c>
      <c r="I108" s="3">
        <f>$I$21</f>
        <v>32523.099368421063</v>
      </c>
      <c r="J108" s="3">
        <f>$J$21</f>
        <v>32523.099368421063</v>
      </c>
      <c r="K108" s="3">
        <f>$K$21</f>
        <v>32523.099368421063</v>
      </c>
      <c r="L108" s="3">
        <f>$L$21</f>
        <v>32523.099368421063</v>
      </c>
    </row>
    <row r="109" spans="1:12">
      <c r="A109" s="4" t="s">
        <v>25</v>
      </c>
      <c r="B109" s="4">
        <f>IFERROR(IRR(B108:L108),NA())</f>
        <v>6.5027051535008065</v>
      </c>
    </row>
    <row r="111" spans="1:12">
      <c r="A111" t="s">
        <v>41</v>
      </c>
      <c r="B111" s="4">
        <v>0.95</v>
      </c>
    </row>
    <row r="112" spans="1:12">
      <c r="A112" t="s">
        <v>61</v>
      </c>
      <c r="B112" s="3">
        <f>$B$12*(1-B111)</f>
        <v>2500.0000000000023</v>
      </c>
    </row>
    <row r="113" spans="1:20">
      <c r="A113" s="4" t="s">
        <v>62</v>
      </c>
      <c r="B113" s="3">
        <f>-B112</f>
        <v>-2500.0000000000023</v>
      </c>
      <c r="C113" s="3">
        <f>$C$21</f>
        <v>32523.099368421063</v>
      </c>
      <c r="D113" s="3">
        <f>$D$21</f>
        <v>32523.099368421063</v>
      </c>
      <c r="E113" s="3">
        <f>$E$21</f>
        <v>32523.099368421063</v>
      </c>
      <c r="F113" s="3">
        <f>$F$21</f>
        <v>32523.099368421063</v>
      </c>
      <c r="G113" s="3">
        <f>$G$21</f>
        <v>-2476.9006315789447</v>
      </c>
      <c r="H113" s="3">
        <f>$H$21</f>
        <v>32523.099368421063</v>
      </c>
      <c r="I113" s="3">
        <f>$I$21</f>
        <v>32523.099368421063</v>
      </c>
      <c r="J113" s="3">
        <f>$J$21</f>
        <v>32523.099368421063</v>
      </c>
      <c r="K113" s="3">
        <f>$K$21</f>
        <v>32523.099368421063</v>
      </c>
      <c r="L113" s="3">
        <f>$L$21</f>
        <v>32523.099368421063</v>
      </c>
    </row>
    <row r="114" spans="1:20">
      <c r="A114" s="4" t="s">
        <v>25</v>
      </c>
      <c r="B114" s="4">
        <f>IFERROR(IRR(B113:L113),NA())</f>
        <v>13.008902189495251</v>
      </c>
    </row>
    <row r="116" spans="1:20">
      <c r="A116" t="s">
        <v>41</v>
      </c>
      <c r="B116" s="4">
        <v>1</v>
      </c>
    </row>
    <row r="117" spans="1:20">
      <c r="A117" t="s">
        <v>61</v>
      </c>
      <c r="B117" s="3">
        <f>$B$12*(1-B116)</f>
        <v>0</v>
      </c>
    </row>
    <row r="118" spans="1:20">
      <c r="A118" s="4" t="s">
        <v>62</v>
      </c>
      <c r="B118" s="3">
        <f>-B117</f>
        <v>0</v>
      </c>
      <c r="C118" s="3">
        <f>$C$21</f>
        <v>32523.099368421063</v>
      </c>
      <c r="D118" s="3">
        <f>$D$21</f>
        <v>32523.099368421063</v>
      </c>
      <c r="E118" s="3">
        <f>$E$21</f>
        <v>32523.099368421063</v>
      </c>
      <c r="F118" s="3">
        <f>$F$21</f>
        <v>32523.099368421063</v>
      </c>
      <c r="G118" s="3">
        <f>$G$21</f>
        <v>-2476.9006315789447</v>
      </c>
      <c r="H118" s="3">
        <f>$H$21</f>
        <v>32523.099368421063</v>
      </c>
      <c r="I118" s="3">
        <f>$I$21</f>
        <v>32523.099368421063</v>
      </c>
      <c r="J118" s="3">
        <f>$J$21</f>
        <v>32523.099368421063</v>
      </c>
      <c r="K118" s="3">
        <f>$K$21</f>
        <v>32523.099368421063</v>
      </c>
      <c r="L118" s="3">
        <f>$L$21</f>
        <v>32523.099368421063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63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>
        <f>B29</f>
        <v>0.67910521465596618</v>
      </c>
      <c r="C124" s="4">
        <f>B34</f>
        <v>0.72269750890785533</v>
      </c>
      <c r="D124" s="4">
        <f>B39</f>
        <v>0.77172970684520625</v>
      </c>
      <c r="E124" s="4">
        <f>B44</f>
        <v>0.827291475993017</v>
      </c>
      <c r="F124" s="4">
        <f>B49</f>
        <v>0.89077934884362286</v>
      </c>
      <c r="G124" s="4">
        <f>B54</f>
        <v>0.96401295958311661</v>
      </c>
      <c r="H124" s="4">
        <f>B59</f>
        <v>1.0494090890874457</v>
      </c>
      <c r="I124" s="4">
        <f>B64</f>
        <v>1.1502504131900442</v>
      </c>
      <c r="J124" s="4">
        <f>B69</f>
        <v>1.2711154924703854</v>
      </c>
      <c r="K124" s="4">
        <f>B74</f>
        <v>1.4185958919921351</v>
      </c>
      <c r="L124" s="4">
        <f>B79</f>
        <v>1.6025525339064894</v>
      </c>
      <c r="M124" s="4">
        <f>B84</f>
        <v>1.8384520305338583</v>
      </c>
      <c r="N124" s="4">
        <f>B89</f>
        <v>2.1520456311381397</v>
      </c>
      <c r="O124" s="4">
        <f>B94</f>
        <v>2.5896751931212973</v>
      </c>
      <c r="P124" s="4">
        <f>B99</f>
        <v>3.2440621223914681</v>
      </c>
      <c r="Q124" s="4">
        <f>B104</f>
        <v>4.3317213171672986</v>
      </c>
      <c r="R124" s="4">
        <f>B109</f>
        <v>6.5027051535008065</v>
      </c>
      <c r="S124" s="4">
        <f>B114</f>
        <v>13.008902189495251</v>
      </c>
      <c r="T124" s="4" t="e">
        <f>B119</f>
        <v>#N/A</v>
      </c>
    </row>
    <row r="125" spans="1:20">
      <c r="A125" t="s">
        <v>64</v>
      </c>
      <c r="B125" s="4" t="e">
        <f>LOOKUP('IRR inputs &amp; outputs'!B18, B124:P124, B123:P123)</f>
        <v>#N/A</v>
      </c>
    </row>
    <row r="126" spans="1:20">
      <c r="A126" t="s">
        <v>65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1A21A-9A34-445E-8704-E9A0759447DB}">
  <dimension ref="A1:T126"/>
  <sheetViews>
    <sheetView workbookViewId="0">
      <selection activeCell="A17" sqref="A17:L18"/>
    </sheetView>
  </sheetViews>
  <sheetFormatPr defaultRowHeight="14.25"/>
  <cols>
    <col min="1" max="1" width="14.7109375" bestFit="1" customWidth="1"/>
  </cols>
  <sheetData>
    <row r="1" spans="1:15">
      <c r="A1" s="1" t="s">
        <v>24</v>
      </c>
      <c r="B1" s="5">
        <v>0.35</v>
      </c>
    </row>
    <row r="2" spans="1:15">
      <c r="A2" t="s">
        <v>44</v>
      </c>
      <c r="B2">
        <f>24*365</f>
        <v>8760</v>
      </c>
    </row>
    <row r="3" spans="1:15">
      <c r="A3" t="s">
        <v>45</v>
      </c>
      <c r="B3">
        <f>B2*B1*'IRR inputs &amp; outputs'!B2*'IRR inputs &amp; outputs'!B3*'IRR inputs &amp; outputs'!$B$7</f>
        <v>152073.60000000001</v>
      </c>
      <c r="C3" t="s">
        <v>46</v>
      </c>
    </row>
    <row r="5" spans="1:15">
      <c r="A5" s="1" t="s">
        <v>47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48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49</v>
      </c>
      <c r="B7" s="2"/>
      <c r="C7" s="2">
        <f>$B$3*'IRR inputs &amp; outputs'!$B$13</f>
        <v>83640.48000000001</v>
      </c>
      <c r="D7" s="2">
        <f>$B$3*'IRR inputs &amp; outputs'!$B$13</f>
        <v>83640.48000000001</v>
      </c>
      <c r="E7" s="2">
        <f>$B$3*'IRR inputs &amp; outputs'!$B$13</f>
        <v>83640.48000000001</v>
      </c>
      <c r="F7" s="2">
        <f>$B$3*'IRR inputs &amp; outputs'!$B$13</f>
        <v>83640.48000000001</v>
      </c>
      <c r="G7" s="2">
        <f>$B$3*'IRR inputs &amp; outputs'!$B$13</f>
        <v>83640.48000000001</v>
      </c>
      <c r="H7" s="2">
        <f>$B$3*'IRR inputs &amp; outputs'!$B$13</f>
        <v>83640.48000000001</v>
      </c>
      <c r="I7" s="2">
        <f>$B$3*'IRR inputs &amp; outputs'!$B$13</f>
        <v>83640.48000000001</v>
      </c>
      <c r="J7" s="2">
        <f>$B$3*'IRR inputs &amp; outputs'!$B$13</f>
        <v>83640.48000000001</v>
      </c>
      <c r="K7" s="2">
        <f>$B$3*'IRR inputs &amp; outputs'!$B$13</f>
        <v>83640.48000000001</v>
      </c>
      <c r="L7" s="2">
        <f>$B$3*'IRR inputs &amp; outputs'!$B$13</f>
        <v>83640.48000000001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50</v>
      </c>
      <c r="B9" s="2"/>
      <c r="C9" s="2">
        <f t="shared" ref="C9:L9" si="0">SUM(C7:C8)</f>
        <v>83640.48000000001</v>
      </c>
      <c r="D9" s="2">
        <f t="shared" si="0"/>
        <v>83640.48000000001</v>
      </c>
      <c r="E9" s="2">
        <f t="shared" si="0"/>
        <v>83640.48000000001</v>
      </c>
      <c r="F9" s="2">
        <f t="shared" si="0"/>
        <v>83640.48000000001</v>
      </c>
      <c r="G9" s="2">
        <f t="shared" si="0"/>
        <v>83640.48000000001</v>
      </c>
      <c r="H9" s="2">
        <f t="shared" si="0"/>
        <v>83640.48000000001</v>
      </c>
      <c r="I9" s="2">
        <f t="shared" si="0"/>
        <v>83640.48000000001</v>
      </c>
      <c r="J9" s="2">
        <f t="shared" si="0"/>
        <v>83640.48000000001</v>
      </c>
      <c r="K9" s="2">
        <f t="shared" si="0"/>
        <v>83640.48000000001</v>
      </c>
      <c r="L9" s="2">
        <f t="shared" si="0"/>
        <v>83640.48000000001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51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50000</v>
      </c>
      <c r="C12" s="2"/>
      <c r="D12" s="2"/>
      <c r="E12" s="2"/>
      <c r="F12" s="2"/>
      <c r="G12" s="2">
        <f>'IRR inputs &amp; outputs'!B15</f>
        <v>35000</v>
      </c>
      <c r="H12" s="2"/>
      <c r="I12" s="2"/>
      <c r="J12" s="2"/>
      <c r="K12" s="2"/>
      <c r="L12" s="2"/>
    </row>
    <row r="13" spans="1:15">
      <c r="A13" t="s">
        <v>52</v>
      </c>
      <c r="B13" s="2">
        <f>'IRR inputs &amp; outputs'!B16</f>
        <v>1000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53</v>
      </c>
      <c r="B14" s="2"/>
      <c r="C14" s="2">
        <f>'IRR inputs &amp; outputs'!$B$17</f>
        <v>5000</v>
      </c>
      <c r="D14" s="2">
        <f>'IRR inputs &amp; outputs'!$B$17</f>
        <v>5000</v>
      </c>
      <c r="E14" s="2">
        <f>'IRR inputs &amp; outputs'!$B$17</f>
        <v>5000</v>
      </c>
      <c r="F14" s="2">
        <f>'IRR inputs &amp; outputs'!$B$17</f>
        <v>5000</v>
      </c>
      <c r="G14" s="2">
        <f>'IRR inputs &amp; outputs'!$B$17</f>
        <v>5000</v>
      </c>
      <c r="H14" s="2">
        <f>'IRR inputs &amp; outputs'!$B$17</f>
        <v>5000</v>
      </c>
      <c r="I14" s="2">
        <f>'IRR inputs &amp; outputs'!$B$17</f>
        <v>5000</v>
      </c>
      <c r="J14" s="2">
        <f>'IRR inputs &amp; outputs'!$B$17</f>
        <v>5000</v>
      </c>
      <c r="K14" s="2">
        <f>'IRR inputs &amp; outputs'!$B$17</f>
        <v>5000</v>
      </c>
      <c r="L14" s="2">
        <f>'IRR inputs &amp; outputs'!$B$17</f>
        <v>5000</v>
      </c>
    </row>
    <row r="15" spans="1:15">
      <c r="A15" t="s">
        <v>54</v>
      </c>
      <c r="B15" s="2"/>
      <c r="C15" s="2">
        <f>'IRR inputs &amp; outputs'!B14</f>
        <v>750</v>
      </c>
      <c r="D15" s="2">
        <f>'IRR inputs &amp; outputs'!B14</f>
        <v>750</v>
      </c>
      <c r="E15" s="2">
        <f>'IRR inputs &amp; outputs'!B14</f>
        <v>750</v>
      </c>
      <c r="F15" s="2">
        <f>'IRR inputs &amp; outputs'!B14</f>
        <v>750</v>
      </c>
      <c r="G15" s="2">
        <f>'IRR inputs &amp; outputs'!B14</f>
        <v>750</v>
      </c>
      <c r="H15" s="2">
        <f>'IRR inputs &amp; outputs'!B14</f>
        <v>750</v>
      </c>
      <c r="I15" s="2">
        <f>'IRR inputs &amp; outputs'!B14</f>
        <v>750</v>
      </c>
      <c r="J15" s="2">
        <f>'IRR inputs &amp; outputs'!B14</f>
        <v>750</v>
      </c>
      <c r="K15" s="2">
        <f>'IRR inputs &amp; outputs'!B14</f>
        <v>750</v>
      </c>
      <c r="L15" s="2">
        <f>'IRR inputs &amp; outputs'!B14</f>
        <v>750</v>
      </c>
    </row>
    <row r="16" spans="1:15">
      <c r="A16" t="s">
        <v>55</v>
      </c>
      <c r="B16" s="2"/>
      <c r="C16" s="2">
        <f>(1/'IRR inputs &amp; outputs'!$B$8)*$B$3*'IRR inputs &amp; outputs'!$B$9+'IRR inputs &amp; outputs'!$B$10</f>
        <v>32015.494736842109</v>
      </c>
      <c r="D16" s="2">
        <f>(1/'IRR inputs &amp; outputs'!$B$8)*$B$3*'IRR inputs &amp; outputs'!$B$9+'IRR inputs &amp; outputs'!$B$10</f>
        <v>32015.494736842109</v>
      </c>
      <c r="E16" s="2">
        <f>(1/'IRR inputs &amp; outputs'!$B$8)*$B$3*'IRR inputs &amp; outputs'!$B$9+'IRR inputs &amp; outputs'!$B$10</f>
        <v>32015.494736842109</v>
      </c>
      <c r="F16" s="2">
        <f>(1/'IRR inputs &amp; outputs'!$B$8)*$B$3*'IRR inputs &amp; outputs'!$B$9+'IRR inputs &amp; outputs'!$B$10</f>
        <v>32015.494736842109</v>
      </c>
      <c r="G16" s="2">
        <f>(1/'IRR inputs &amp; outputs'!$B$8)*$B$3*'IRR inputs &amp; outputs'!$B$9+'IRR inputs &amp; outputs'!$B$10</f>
        <v>32015.494736842109</v>
      </c>
      <c r="H16" s="2">
        <f>(1/'IRR inputs &amp; outputs'!$B$8)*$B$3*'IRR inputs &amp; outputs'!$B$9+'IRR inputs &amp; outputs'!$B$10</f>
        <v>32015.494736842109</v>
      </c>
      <c r="I16" s="2">
        <f>(1/'IRR inputs &amp; outputs'!$B$8)*$B$3*'IRR inputs &amp; outputs'!$B$9+'IRR inputs &amp; outputs'!$B$10</f>
        <v>32015.494736842109</v>
      </c>
      <c r="J16" s="2">
        <f>(1/'IRR inputs &amp; outputs'!$B$8)*$B$3*'IRR inputs &amp; outputs'!$B$9+'IRR inputs &amp; outputs'!$B$10</f>
        <v>32015.494736842109</v>
      </c>
      <c r="K16" s="2">
        <f>(1/'IRR inputs &amp; outputs'!$B$8)*$B$3*'IRR inputs &amp; outputs'!$B$9+'IRR inputs &amp; outputs'!$B$10</f>
        <v>32015.494736842109</v>
      </c>
      <c r="L16" s="2">
        <f>(1/'IRR inputs &amp; outputs'!$B$8)*$B$3*'IRR inputs &amp; outputs'!$B$9+'IRR inputs &amp; outputs'!$B$10</f>
        <v>32015.494736842109</v>
      </c>
    </row>
    <row r="17" spans="1:12">
      <c r="A17" t="s">
        <v>56</v>
      </c>
      <c r="B17" s="2"/>
      <c r="C17" s="46">
        <f>'IRR inputs &amp; outputs'!$B$12</f>
        <v>600</v>
      </c>
      <c r="D17" s="2">
        <f>'IRR inputs &amp; outputs'!$B$12</f>
        <v>600</v>
      </c>
      <c r="E17" s="2">
        <f>'IRR inputs &amp; outputs'!$B$12</f>
        <v>600</v>
      </c>
      <c r="F17" s="2">
        <f>'IRR inputs &amp; outputs'!$B$12</f>
        <v>600</v>
      </c>
      <c r="G17" s="2">
        <f>'IRR inputs &amp; outputs'!$B$12</f>
        <v>600</v>
      </c>
      <c r="H17" s="2">
        <f>'IRR inputs &amp; outputs'!$B$12</f>
        <v>600</v>
      </c>
      <c r="I17" s="2">
        <f>'IRR inputs &amp; outputs'!$B$12</f>
        <v>600</v>
      </c>
      <c r="J17" s="2">
        <f>'IRR inputs &amp; outputs'!$B$12</f>
        <v>600</v>
      </c>
      <c r="K17" s="2">
        <f>'IRR inputs &amp; outputs'!$B$12</f>
        <v>600</v>
      </c>
      <c r="L17" s="2">
        <f>'IRR inputs &amp; outputs'!$B$12</f>
        <v>600</v>
      </c>
    </row>
    <row r="18" spans="1:12">
      <c r="A18" t="s">
        <v>57</v>
      </c>
      <c r="B18" s="2"/>
      <c r="C18" s="2">
        <f>$B$3*'IRR inputs &amp; outputs'!$B$11*'IRR inputs &amp; outputs'!$B$13</f>
        <v>6273.036000000001</v>
      </c>
      <c r="D18" s="2">
        <f>$B$3*'IRR inputs &amp; outputs'!$B$11*'IRR inputs &amp; outputs'!$B$13</f>
        <v>6273.036000000001</v>
      </c>
      <c r="E18" s="2">
        <f>$B$3*'IRR inputs &amp; outputs'!$B$11*'IRR inputs &amp; outputs'!$B$13</f>
        <v>6273.036000000001</v>
      </c>
      <c r="F18" s="2">
        <f>$B$3*'IRR inputs &amp; outputs'!$B$11*'IRR inputs &amp; outputs'!$B$13</f>
        <v>6273.036000000001</v>
      </c>
      <c r="G18" s="2">
        <f>$B$3*'IRR inputs &amp; outputs'!$B$11*'IRR inputs &amp; outputs'!$B$13</f>
        <v>6273.036000000001</v>
      </c>
      <c r="H18" s="2">
        <f>$B$3*'IRR inputs &amp; outputs'!$B$11*'IRR inputs &amp; outputs'!$B$13</f>
        <v>6273.036000000001</v>
      </c>
      <c r="I18" s="2">
        <f>$B$3*'IRR inputs &amp; outputs'!$B$11*'IRR inputs &amp; outputs'!$B$13</f>
        <v>6273.036000000001</v>
      </c>
      <c r="J18" s="2">
        <f>$B$3*'IRR inputs &amp; outputs'!$B$11*'IRR inputs &amp; outputs'!$B$13</f>
        <v>6273.036000000001</v>
      </c>
      <c r="K18" s="2">
        <f>$B$3*'IRR inputs &amp; outputs'!$B$11*'IRR inputs &amp; outputs'!$B$13</f>
        <v>6273.036000000001</v>
      </c>
      <c r="L18" s="2">
        <f>$B$3*'IRR inputs &amp; outputs'!$B$11*'IRR inputs &amp; outputs'!$B$13</f>
        <v>6273.036000000001</v>
      </c>
    </row>
    <row r="19" spans="1:12">
      <c r="A19" t="s">
        <v>58</v>
      </c>
      <c r="B19" s="3">
        <f t="shared" ref="B19:L19" si="1">SUM(B12:B18)</f>
        <v>51000</v>
      </c>
      <c r="C19" s="3">
        <f t="shared" si="1"/>
        <v>44638.530736842113</v>
      </c>
      <c r="D19" s="3">
        <f t="shared" si="1"/>
        <v>44638.530736842113</v>
      </c>
      <c r="E19" s="3">
        <f t="shared" si="1"/>
        <v>44638.530736842113</v>
      </c>
      <c r="F19" s="3">
        <f t="shared" si="1"/>
        <v>44638.530736842113</v>
      </c>
      <c r="G19" s="3">
        <f t="shared" si="1"/>
        <v>79638.53073684212</v>
      </c>
      <c r="H19" s="3">
        <f t="shared" si="1"/>
        <v>44638.530736842113</v>
      </c>
      <c r="I19" s="3">
        <f t="shared" si="1"/>
        <v>44638.530736842113</v>
      </c>
      <c r="J19" s="3">
        <f t="shared" si="1"/>
        <v>44638.530736842113</v>
      </c>
      <c r="K19" s="3">
        <f t="shared" si="1"/>
        <v>44638.530736842113</v>
      </c>
      <c r="L19" s="3">
        <f t="shared" si="1"/>
        <v>44638.530736842113</v>
      </c>
    </row>
    <row r="21" spans="1:12">
      <c r="A21" t="s">
        <v>59</v>
      </c>
      <c r="B21" s="3">
        <f t="shared" ref="B21:L21" si="2">B9-B19</f>
        <v>-51000</v>
      </c>
      <c r="C21" s="3">
        <f t="shared" si="2"/>
        <v>39001.949263157898</v>
      </c>
      <c r="D21" s="3">
        <f t="shared" si="2"/>
        <v>39001.949263157898</v>
      </c>
      <c r="E21" s="3">
        <f t="shared" si="2"/>
        <v>39001.949263157898</v>
      </c>
      <c r="F21" s="3">
        <f t="shared" si="2"/>
        <v>39001.949263157898</v>
      </c>
      <c r="G21" s="3">
        <f t="shared" si="2"/>
        <v>4001.9492631578905</v>
      </c>
      <c r="H21" s="3">
        <f t="shared" si="2"/>
        <v>39001.949263157898</v>
      </c>
      <c r="I21" s="3">
        <f t="shared" si="2"/>
        <v>39001.949263157898</v>
      </c>
      <c r="J21" s="3">
        <f t="shared" si="2"/>
        <v>39001.949263157898</v>
      </c>
      <c r="K21" s="3">
        <f t="shared" si="2"/>
        <v>39001.949263157898</v>
      </c>
      <c r="L21" s="3">
        <f t="shared" si="2"/>
        <v>39001.949263157898</v>
      </c>
    </row>
    <row r="23" spans="1:12">
      <c r="A23" t="s">
        <v>25</v>
      </c>
      <c r="B23" s="4">
        <f>IFERROR(IRR(B21:L21),NA())</f>
        <v>0.72917484602536731</v>
      </c>
    </row>
    <row r="25" spans="1:12">
      <c r="A25" s="1" t="s">
        <v>60</v>
      </c>
    </row>
    <row r="26" spans="1:12">
      <c r="A26" t="s">
        <v>41</v>
      </c>
      <c r="B26" s="4">
        <v>0.1</v>
      </c>
    </row>
    <row r="27" spans="1:12">
      <c r="A27" t="s">
        <v>61</v>
      </c>
      <c r="B27" s="3">
        <f>$B$12*(1-B26)</f>
        <v>45000</v>
      </c>
    </row>
    <row r="28" spans="1:12">
      <c r="A28" s="4" t="s">
        <v>62</v>
      </c>
      <c r="B28" s="3">
        <f>-B27</f>
        <v>-45000</v>
      </c>
      <c r="C28" s="3">
        <f>$C$21</f>
        <v>39001.949263157898</v>
      </c>
      <c r="D28" s="3">
        <f>$D$21</f>
        <v>39001.949263157898</v>
      </c>
      <c r="E28" s="3">
        <f>$E$21</f>
        <v>39001.949263157898</v>
      </c>
      <c r="F28" s="3">
        <f>$F$21</f>
        <v>39001.949263157898</v>
      </c>
      <c r="G28" s="3">
        <f>$G$21</f>
        <v>4001.9492631578905</v>
      </c>
      <c r="H28" s="3">
        <f>$H$21</f>
        <v>39001.949263157898</v>
      </c>
      <c r="I28" s="3">
        <f>$I$21</f>
        <v>39001.949263157898</v>
      </c>
      <c r="J28" s="3">
        <f>$J$21</f>
        <v>39001.949263157898</v>
      </c>
      <c r="K28" s="3">
        <f>$K$21</f>
        <v>39001.949263157898</v>
      </c>
      <c r="L28" s="3">
        <f>$L$21</f>
        <v>39001.949263157898</v>
      </c>
    </row>
    <row r="29" spans="1:12">
      <c r="A29" s="4" t="s">
        <v>25</v>
      </c>
      <c r="B29" s="4">
        <f>IFERROR(IRR(B28:L28),NA())</f>
        <v>0.8333989023781494</v>
      </c>
    </row>
    <row r="30" spans="1:12">
      <c r="A30" s="4"/>
      <c r="B30" s="3"/>
    </row>
    <row r="31" spans="1:12">
      <c r="A31" t="s">
        <v>41</v>
      </c>
      <c r="B31" s="4">
        <v>0.15</v>
      </c>
    </row>
    <row r="32" spans="1:12">
      <c r="A32" t="s">
        <v>61</v>
      </c>
      <c r="B32" s="3">
        <f>$B$12*(1-B31)</f>
        <v>42500</v>
      </c>
    </row>
    <row r="33" spans="1:12">
      <c r="A33" s="4" t="s">
        <v>62</v>
      </c>
      <c r="B33" s="3">
        <f>-B32</f>
        <v>-42500</v>
      </c>
      <c r="C33" s="3">
        <f>$C$21</f>
        <v>39001.949263157898</v>
      </c>
      <c r="D33" s="3">
        <f>$D$21</f>
        <v>39001.949263157898</v>
      </c>
      <c r="E33" s="3">
        <f>$E$21</f>
        <v>39001.949263157898</v>
      </c>
      <c r="F33" s="3">
        <f>$F$21</f>
        <v>39001.949263157898</v>
      </c>
      <c r="G33" s="3">
        <f>$G$21</f>
        <v>4001.9492631578905</v>
      </c>
      <c r="H33" s="3">
        <f>$H$21</f>
        <v>39001.949263157898</v>
      </c>
      <c r="I33" s="3">
        <f>$I$21</f>
        <v>39001.949263157898</v>
      </c>
      <c r="J33" s="3">
        <f>$J$21</f>
        <v>39001.949263157898</v>
      </c>
      <c r="K33" s="3">
        <f>$K$21</f>
        <v>39001.949263157898</v>
      </c>
      <c r="L33" s="3">
        <f>$L$21</f>
        <v>39001.949263157898</v>
      </c>
    </row>
    <row r="34" spans="1:12">
      <c r="A34" s="4" t="s">
        <v>25</v>
      </c>
      <c r="B34" s="4">
        <f>IFERROR(IRR(B33:L33),NA())</f>
        <v>0.88547460143143475</v>
      </c>
    </row>
    <row r="35" spans="1:12">
      <c r="A35" s="4"/>
      <c r="B35" s="3"/>
    </row>
    <row r="36" spans="1:12">
      <c r="A36" t="s">
        <v>41</v>
      </c>
      <c r="B36" s="4">
        <v>0.2</v>
      </c>
    </row>
    <row r="37" spans="1:12">
      <c r="A37" t="s">
        <v>61</v>
      </c>
      <c r="B37" s="3">
        <f>$B$12*(1-B36)</f>
        <v>40000</v>
      </c>
    </row>
    <row r="38" spans="1:12">
      <c r="A38" s="4" t="s">
        <v>62</v>
      </c>
      <c r="B38" s="3">
        <f>-B37</f>
        <v>-40000</v>
      </c>
      <c r="C38" s="3">
        <f>$C$21</f>
        <v>39001.949263157898</v>
      </c>
      <c r="D38" s="3">
        <f>$D$21</f>
        <v>39001.949263157898</v>
      </c>
      <c r="E38" s="3">
        <f>$E$21</f>
        <v>39001.949263157898</v>
      </c>
      <c r="F38" s="3">
        <f>$F$21</f>
        <v>39001.949263157898</v>
      </c>
      <c r="G38" s="3">
        <f>$G$21</f>
        <v>4001.9492631578905</v>
      </c>
      <c r="H38" s="3">
        <f>$H$21</f>
        <v>39001.949263157898</v>
      </c>
      <c r="I38" s="3">
        <f>$I$21</f>
        <v>39001.949263157898</v>
      </c>
      <c r="J38" s="3">
        <f>$J$21</f>
        <v>39001.949263157898</v>
      </c>
      <c r="K38" s="3">
        <f>$K$21</f>
        <v>39001.949263157898</v>
      </c>
      <c r="L38" s="3">
        <f>$L$21</f>
        <v>39001.949263157898</v>
      </c>
    </row>
    <row r="39" spans="1:12">
      <c r="A39" s="4" t="s">
        <v>25</v>
      </c>
      <c r="B39" s="4">
        <f>IFERROR(IRR(B38:L38),NA())</f>
        <v>0.94403479535938573</v>
      </c>
    </row>
    <row r="41" spans="1:12">
      <c r="A41" t="s">
        <v>41</v>
      </c>
      <c r="B41" s="4">
        <v>0.25</v>
      </c>
    </row>
    <row r="42" spans="1:12">
      <c r="A42" t="s">
        <v>61</v>
      </c>
      <c r="B42" s="3">
        <f>$B$12*(1-B41)</f>
        <v>37500</v>
      </c>
    </row>
    <row r="43" spans="1:12">
      <c r="A43" s="4" t="s">
        <v>62</v>
      </c>
      <c r="B43" s="3">
        <f>-B42</f>
        <v>-37500</v>
      </c>
      <c r="C43" s="3">
        <f>$C$21</f>
        <v>39001.949263157898</v>
      </c>
      <c r="D43" s="3">
        <f>$D$21</f>
        <v>39001.949263157898</v>
      </c>
      <c r="E43" s="3">
        <f>$E$21</f>
        <v>39001.949263157898</v>
      </c>
      <c r="F43" s="3">
        <f>$F$21</f>
        <v>39001.949263157898</v>
      </c>
      <c r="G43" s="3">
        <f>$G$21</f>
        <v>4001.9492631578905</v>
      </c>
      <c r="H43" s="3">
        <f>$H$21</f>
        <v>39001.949263157898</v>
      </c>
      <c r="I43" s="3">
        <f>$I$21</f>
        <v>39001.949263157898</v>
      </c>
      <c r="J43" s="3">
        <f>$J$21</f>
        <v>39001.949263157898</v>
      </c>
      <c r="K43" s="3">
        <f>$K$21</f>
        <v>39001.949263157898</v>
      </c>
      <c r="L43" s="3">
        <f>$L$21</f>
        <v>39001.949263157898</v>
      </c>
    </row>
    <row r="44" spans="1:12">
      <c r="A44" s="4" t="s">
        <v>25</v>
      </c>
      <c r="B44" s="4">
        <f>IFERROR(IRR(B43:L43),NA())</f>
        <v>1.0103706476985046</v>
      </c>
    </row>
    <row r="46" spans="1:12">
      <c r="A46" t="s">
        <v>41</v>
      </c>
      <c r="B46" s="4">
        <v>0.3</v>
      </c>
    </row>
    <row r="47" spans="1:12">
      <c r="A47" t="s">
        <v>61</v>
      </c>
      <c r="B47" s="3">
        <f>$B$12*(1-B46)</f>
        <v>35000</v>
      </c>
    </row>
    <row r="48" spans="1:12">
      <c r="A48" s="4" t="s">
        <v>62</v>
      </c>
      <c r="B48" s="3">
        <f>-B47</f>
        <v>-35000</v>
      </c>
      <c r="C48" s="3">
        <f>$C$21</f>
        <v>39001.949263157898</v>
      </c>
      <c r="D48" s="3">
        <f>$D$21</f>
        <v>39001.949263157898</v>
      </c>
      <c r="E48" s="3">
        <f>$E$21</f>
        <v>39001.949263157898</v>
      </c>
      <c r="F48" s="3">
        <f>$F$21</f>
        <v>39001.949263157898</v>
      </c>
      <c r="G48" s="3">
        <f>$G$21</f>
        <v>4001.9492631578905</v>
      </c>
      <c r="H48" s="3">
        <f>$H$21</f>
        <v>39001.949263157898</v>
      </c>
      <c r="I48" s="3">
        <f>$I$21</f>
        <v>39001.949263157898</v>
      </c>
      <c r="J48" s="3">
        <f>$J$21</f>
        <v>39001.949263157898</v>
      </c>
      <c r="K48" s="3">
        <f>$K$21</f>
        <v>39001.949263157898</v>
      </c>
      <c r="L48" s="3">
        <f>$L$21</f>
        <v>39001.949263157898</v>
      </c>
    </row>
    <row r="49" spans="1:12">
      <c r="A49" s="4" t="s">
        <v>25</v>
      </c>
      <c r="B49" s="4">
        <f>IFERROR(IRR(B48:L48),NA())</f>
        <v>1.086137894425538</v>
      </c>
    </row>
    <row r="51" spans="1:12">
      <c r="A51" t="s">
        <v>41</v>
      </c>
      <c r="B51" s="4">
        <v>0.35</v>
      </c>
    </row>
    <row r="52" spans="1:12">
      <c r="A52" t="s">
        <v>61</v>
      </c>
      <c r="B52" s="3">
        <f>$B$12*(1-B51)</f>
        <v>32500</v>
      </c>
    </row>
    <row r="53" spans="1:12">
      <c r="A53" s="4" t="s">
        <v>62</v>
      </c>
      <c r="B53" s="3">
        <f>-B52</f>
        <v>-32500</v>
      </c>
      <c r="C53" s="3">
        <f>$C$21</f>
        <v>39001.949263157898</v>
      </c>
      <c r="D53" s="3">
        <f>$D$21</f>
        <v>39001.949263157898</v>
      </c>
      <c r="E53" s="3">
        <f>$E$21</f>
        <v>39001.949263157898</v>
      </c>
      <c r="F53" s="3">
        <f>$F$21</f>
        <v>39001.949263157898</v>
      </c>
      <c r="G53" s="3">
        <f>$G$21</f>
        <v>4001.9492631578905</v>
      </c>
      <c r="H53" s="3">
        <f>$H$21</f>
        <v>39001.949263157898</v>
      </c>
      <c r="I53" s="3">
        <f>$I$21</f>
        <v>39001.949263157898</v>
      </c>
      <c r="J53" s="3">
        <f>$J$21</f>
        <v>39001.949263157898</v>
      </c>
      <c r="K53" s="3">
        <f>$K$21</f>
        <v>39001.949263157898</v>
      </c>
      <c r="L53" s="3">
        <f>$L$21</f>
        <v>39001.949263157898</v>
      </c>
    </row>
    <row r="54" spans="1:12">
      <c r="A54" s="4" t="s">
        <v>25</v>
      </c>
      <c r="B54" s="4">
        <f>IFERROR(IRR(B53:L53),NA())</f>
        <v>1.173496068284861</v>
      </c>
    </row>
    <row r="56" spans="1:12">
      <c r="A56" t="s">
        <v>41</v>
      </c>
      <c r="B56" s="4">
        <v>0.4</v>
      </c>
    </row>
    <row r="57" spans="1:12">
      <c r="A57" t="s">
        <v>61</v>
      </c>
      <c r="B57" s="3">
        <f>$B$12*(1-B56)</f>
        <v>30000</v>
      </c>
    </row>
    <row r="58" spans="1:12">
      <c r="A58" s="4" t="s">
        <v>62</v>
      </c>
      <c r="B58" s="3">
        <f>-B57</f>
        <v>-30000</v>
      </c>
      <c r="C58" s="3">
        <f>$C$21</f>
        <v>39001.949263157898</v>
      </c>
      <c r="D58" s="3">
        <f>$D$21</f>
        <v>39001.949263157898</v>
      </c>
      <c r="E58" s="3">
        <f>$E$21</f>
        <v>39001.949263157898</v>
      </c>
      <c r="F58" s="3">
        <f>$F$21</f>
        <v>39001.949263157898</v>
      </c>
      <c r="G58" s="3">
        <f>$G$21</f>
        <v>4001.9492631578905</v>
      </c>
      <c r="H58" s="3">
        <f>$H$21</f>
        <v>39001.949263157898</v>
      </c>
      <c r="I58" s="3">
        <f>$I$21</f>
        <v>39001.949263157898</v>
      </c>
      <c r="J58" s="3">
        <f>$J$21</f>
        <v>39001.949263157898</v>
      </c>
      <c r="K58" s="3">
        <f>$K$21</f>
        <v>39001.949263157898</v>
      </c>
      <c r="L58" s="3">
        <f>$L$21</f>
        <v>39001.949263157898</v>
      </c>
    </row>
    <row r="59" spans="1:12">
      <c r="A59" s="4" t="s">
        <v>25</v>
      </c>
      <c r="B59" s="4">
        <f>IFERROR(IRR(B58:L58),NA())</f>
        <v>1.2753173435368583</v>
      </c>
    </row>
    <row r="61" spans="1:12">
      <c r="A61" t="s">
        <v>41</v>
      </c>
      <c r="B61" s="4">
        <v>0.45</v>
      </c>
    </row>
    <row r="62" spans="1:12">
      <c r="A62" t="s">
        <v>61</v>
      </c>
      <c r="B62" s="3">
        <f>$B$12*(1-B61)</f>
        <v>27500.000000000004</v>
      </c>
    </row>
    <row r="63" spans="1:12">
      <c r="A63" s="4" t="s">
        <v>62</v>
      </c>
      <c r="B63" s="3">
        <f>-B62</f>
        <v>-27500.000000000004</v>
      </c>
      <c r="C63" s="3">
        <f>$C$21</f>
        <v>39001.949263157898</v>
      </c>
      <c r="D63" s="3">
        <f>$D$21</f>
        <v>39001.949263157898</v>
      </c>
      <c r="E63" s="3">
        <f>$E$21</f>
        <v>39001.949263157898</v>
      </c>
      <c r="F63" s="3">
        <f>$F$21</f>
        <v>39001.949263157898</v>
      </c>
      <c r="G63" s="3">
        <f>$G$21</f>
        <v>4001.9492631578905</v>
      </c>
      <c r="H63" s="3">
        <f>$H$21</f>
        <v>39001.949263157898</v>
      </c>
      <c r="I63" s="3">
        <f>$I$21</f>
        <v>39001.949263157898</v>
      </c>
      <c r="J63" s="3">
        <f>$J$21</f>
        <v>39001.949263157898</v>
      </c>
      <c r="K63" s="3">
        <f>$K$21</f>
        <v>39001.949263157898</v>
      </c>
      <c r="L63" s="3">
        <f>$L$21</f>
        <v>39001.949263157898</v>
      </c>
    </row>
    <row r="64" spans="1:12">
      <c r="A64" s="4" t="s">
        <v>25</v>
      </c>
      <c r="B64" s="4">
        <f>IFERROR(IRR(B63:L63),NA())</f>
        <v>1.3955094346727894</v>
      </c>
    </row>
    <row r="66" spans="1:12">
      <c r="A66" t="s">
        <v>41</v>
      </c>
      <c r="B66" s="4">
        <v>0.5</v>
      </c>
    </row>
    <row r="67" spans="1:12">
      <c r="A67" t="s">
        <v>61</v>
      </c>
      <c r="B67" s="3">
        <f>$B$12*(1-B66)</f>
        <v>25000</v>
      </c>
    </row>
    <row r="68" spans="1:12">
      <c r="A68" s="4" t="s">
        <v>62</v>
      </c>
      <c r="B68" s="3">
        <f>-B67</f>
        <v>-25000</v>
      </c>
      <c r="C68" s="3">
        <f>$C$21</f>
        <v>39001.949263157898</v>
      </c>
      <c r="D68" s="3">
        <f>$D$21</f>
        <v>39001.949263157898</v>
      </c>
      <c r="E68" s="3">
        <f>$E$21</f>
        <v>39001.949263157898</v>
      </c>
      <c r="F68" s="3">
        <f>$F$21</f>
        <v>39001.949263157898</v>
      </c>
      <c r="G68" s="3">
        <f>$G$21</f>
        <v>4001.9492631578905</v>
      </c>
      <c r="H68" s="3">
        <f>$H$21</f>
        <v>39001.949263157898</v>
      </c>
      <c r="I68" s="3">
        <f>$I$21</f>
        <v>39001.949263157898</v>
      </c>
      <c r="J68" s="3">
        <f>$J$21</f>
        <v>39001.949263157898</v>
      </c>
      <c r="K68" s="3">
        <f>$K$21</f>
        <v>39001.949263157898</v>
      </c>
      <c r="L68" s="3">
        <f>$L$21</f>
        <v>39001.949263157898</v>
      </c>
    </row>
    <row r="69" spans="1:12">
      <c r="A69" s="4" t="s">
        <v>25</v>
      </c>
      <c r="B69" s="4">
        <f>IFERROR(IRR(B68:L68),NA())</f>
        <v>1.5395326040715354</v>
      </c>
    </row>
    <row r="71" spans="1:12">
      <c r="A71" t="s">
        <v>41</v>
      </c>
      <c r="B71" s="4">
        <v>0.55000000000000004</v>
      </c>
    </row>
    <row r="72" spans="1:12">
      <c r="A72" t="s">
        <v>61</v>
      </c>
      <c r="B72" s="3">
        <f>$B$12*(1-B71)</f>
        <v>22499.999999999996</v>
      </c>
    </row>
    <row r="73" spans="1:12">
      <c r="A73" s="4" t="s">
        <v>62</v>
      </c>
      <c r="B73" s="3">
        <f>-B72</f>
        <v>-22499.999999999996</v>
      </c>
      <c r="C73" s="3">
        <f>$C$21</f>
        <v>39001.949263157898</v>
      </c>
      <c r="D73" s="3">
        <f>$D$21</f>
        <v>39001.949263157898</v>
      </c>
      <c r="E73" s="3">
        <f>$E$21</f>
        <v>39001.949263157898</v>
      </c>
      <c r="F73" s="3">
        <f>$F$21</f>
        <v>39001.949263157898</v>
      </c>
      <c r="G73" s="3">
        <f>$G$21</f>
        <v>4001.9492631578905</v>
      </c>
      <c r="H73" s="3">
        <f>$H$21</f>
        <v>39001.949263157898</v>
      </c>
      <c r="I73" s="3">
        <f>$I$21</f>
        <v>39001.949263157898</v>
      </c>
      <c r="J73" s="3">
        <f>$J$21</f>
        <v>39001.949263157898</v>
      </c>
      <c r="K73" s="3">
        <f>$K$21</f>
        <v>39001.949263157898</v>
      </c>
      <c r="L73" s="3">
        <f>$L$21</f>
        <v>39001.949263157898</v>
      </c>
    </row>
    <row r="74" spans="1:12">
      <c r="A74" s="4" t="s">
        <v>25</v>
      </c>
      <c r="B74" s="4">
        <f>IFERROR(IRR(B73:L73),NA())</f>
        <v>1.7152621055975752</v>
      </c>
    </row>
    <row r="76" spans="1:12">
      <c r="A76" t="s">
        <v>41</v>
      </c>
      <c r="B76" s="4">
        <v>0.6</v>
      </c>
    </row>
    <row r="77" spans="1:12">
      <c r="A77" t="s">
        <v>61</v>
      </c>
      <c r="B77" s="3">
        <f>$B$12*(1-B76)</f>
        <v>20000</v>
      </c>
    </row>
    <row r="78" spans="1:12">
      <c r="A78" s="4" t="s">
        <v>62</v>
      </c>
      <c r="B78" s="3">
        <f>-B77</f>
        <v>-20000</v>
      </c>
      <c r="C78" s="3">
        <f>$C$21</f>
        <v>39001.949263157898</v>
      </c>
      <c r="D78" s="3">
        <f>$D$21</f>
        <v>39001.949263157898</v>
      </c>
      <c r="E78" s="3">
        <f>$E$21</f>
        <v>39001.949263157898</v>
      </c>
      <c r="F78" s="3">
        <f>$F$21</f>
        <v>39001.949263157898</v>
      </c>
      <c r="G78" s="3">
        <f>$G$21</f>
        <v>4001.9492631578905</v>
      </c>
      <c r="H78" s="3">
        <f>$H$21</f>
        <v>39001.949263157898</v>
      </c>
      <c r="I78" s="3">
        <f>$I$21</f>
        <v>39001.949263157898</v>
      </c>
      <c r="J78" s="3">
        <f>$J$21</f>
        <v>39001.949263157898</v>
      </c>
      <c r="K78" s="3">
        <f>$K$21</f>
        <v>39001.949263157898</v>
      </c>
      <c r="L78" s="3">
        <f>$L$21</f>
        <v>39001.949263157898</v>
      </c>
    </row>
    <row r="79" spans="1:12">
      <c r="A79" s="4" t="s">
        <v>25</v>
      </c>
      <c r="B79" s="4">
        <f>IFERROR(IRR(B78:L78),NA())</f>
        <v>1.9344988885589407</v>
      </c>
    </row>
    <row r="81" spans="1:12">
      <c r="A81" t="s">
        <v>41</v>
      </c>
      <c r="B81" s="4">
        <v>0.65</v>
      </c>
    </row>
    <row r="82" spans="1:12">
      <c r="A82" t="s">
        <v>61</v>
      </c>
      <c r="B82" s="3">
        <f>$B$12*(1-B81)</f>
        <v>17500</v>
      </c>
    </row>
    <row r="83" spans="1:12">
      <c r="A83" s="4" t="s">
        <v>62</v>
      </c>
      <c r="B83" s="3">
        <f>-B82</f>
        <v>-17500</v>
      </c>
      <c r="C83" s="3">
        <f>$C$21</f>
        <v>39001.949263157898</v>
      </c>
      <c r="D83" s="3">
        <f>$D$21</f>
        <v>39001.949263157898</v>
      </c>
      <c r="E83" s="3">
        <f>$E$21</f>
        <v>39001.949263157898</v>
      </c>
      <c r="F83" s="3">
        <f>$F$21</f>
        <v>39001.949263157898</v>
      </c>
      <c r="G83" s="3">
        <f>$G$21</f>
        <v>4001.9492631578905</v>
      </c>
      <c r="H83" s="3">
        <f>$H$21</f>
        <v>39001.949263157898</v>
      </c>
      <c r="I83" s="3">
        <f>$I$21</f>
        <v>39001.949263157898</v>
      </c>
      <c r="J83" s="3">
        <f>$J$21</f>
        <v>39001.949263157898</v>
      </c>
      <c r="K83" s="3">
        <f>$K$21</f>
        <v>39001.949263157898</v>
      </c>
      <c r="L83" s="3">
        <f>$L$21</f>
        <v>39001.949263157898</v>
      </c>
    </row>
    <row r="84" spans="1:12">
      <c r="A84" s="4" t="s">
        <v>25</v>
      </c>
      <c r="B84" s="4">
        <f>IFERROR(IRR(B83:L83),NA())</f>
        <v>2.2157777347088108</v>
      </c>
    </row>
    <row r="86" spans="1:12">
      <c r="A86" t="s">
        <v>41</v>
      </c>
      <c r="B86" s="4">
        <v>0.7</v>
      </c>
    </row>
    <row r="87" spans="1:12">
      <c r="A87" t="s">
        <v>61</v>
      </c>
      <c r="B87" s="3">
        <f>$B$12*(1-B86)</f>
        <v>15000.000000000002</v>
      </c>
    </row>
    <row r="88" spans="1:12">
      <c r="A88" s="4" t="s">
        <v>62</v>
      </c>
      <c r="B88" s="3">
        <f>-B87</f>
        <v>-15000.000000000002</v>
      </c>
      <c r="C88" s="3">
        <f>$C$21</f>
        <v>39001.949263157898</v>
      </c>
      <c r="D88" s="3">
        <f>$D$21</f>
        <v>39001.949263157898</v>
      </c>
      <c r="E88" s="3">
        <f>$E$21</f>
        <v>39001.949263157898</v>
      </c>
      <c r="F88" s="3">
        <f>$F$21</f>
        <v>39001.949263157898</v>
      </c>
      <c r="G88" s="3">
        <f>$G$21</f>
        <v>4001.9492631578905</v>
      </c>
      <c r="H88" s="3">
        <f>$H$21</f>
        <v>39001.949263157898</v>
      </c>
      <c r="I88" s="3">
        <f>$I$21</f>
        <v>39001.949263157898</v>
      </c>
      <c r="J88" s="3">
        <f>$J$21</f>
        <v>39001.949263157898</v>
      </c>
      <c r="K88" s="3">
        <f>$K$21</f>
        <v>39001.949263157898</v>
      </c>
      <c r="L88" s="3">
        <f>$L$21</f>
        <v>39001.949263157898</v>
      </c>
    </row>
    <row r="89" spans="1:12">
      <c r="A89" s="4" t="s">
        <v>25</v>
      </c>
      <c r="B89" s="4">
        <f>IFERROR(IRR(B88:L88),NA())</f>
        <v>2.5899879694613106</v>
      </c>
    </row>
    <row r="91" spans="1:12">
      <c r="A91" t="s">
        <v>41</v>
      </c>
      <c r="B91" s="4">
        <v>0.75</v>
      </c>
    </row>
    <row r="92" spans="1:12">
      <c r="A92" t="s">
        <v>61</v>
      </c>
      <c r="B92" s="3">
        <f>$B$12*(1-B91)</f>
        <v>12500</v>
      </c>
    </row>
    <row r="93" spans="1:12">
      <c r="A93" s="4" t="s">
        <v>62</v>
      </c>
      <c r="B93" s="3">
        <f>-B92</f>
        <v>-12500</v>
      </c>
      <c r="C93" s="3">
        <f>$C$21</f>
        <v>39001.949263157898</v>
      </c>
      <c r="D93" s="3">
        <f>$D$21</f>
        <v>39001.949263157898</v>
      </c>
      <c r="E93" s="3">
        <f>$E$21</f>
        <v>39001.949263157898</v>
      </c>
      <c r="F93" s="3">
        <f>$F$21</f>
        <v>39001.949263157898</v>
      </c>
      <c r="G93" s="3">
        <f>$G$21</f>
        <v>4001.9492631578905</v>
      </c>
      <c r="H93" s="3">
        <f>$H$21</f>
        <v>39001.949263157898</v>
      </c>
      <c r="I93" s="3">
        <f>$I$21</f>
        <v>39001.949263157898</v>
      </c>
      <c r="J93" s="3">
        <f>$J$21</f>
        <v>39001.949263157898</v>
      </c>
      <c r="K93" s="3">
        <f>$K$21</f>
        <v>39001.949263157898</v>
      </c>
      <c r="L93" s="3">
        <f>$L$21</f>
        <v>39001.949263157898</v>
      </c>
    </row>
    <row r="94" spans="1:12">
      <c r="A94" s="4" t="s">
        <v>25</v>
      </c>
      <c r="B94" s="4">
        <f>IFERROR(IRR(B93:L93),NA())</f>
        <v>3.1127466933934409</v>
      </c>
    </row>
    <row r="96" spans="1:12">
      <c r="A96" t="s">
        <v>41</v>
      </c>
      <c r="B96" s="4">
        <v>0.8</v>
      </c>
    </row>
    <row r="97" spans="1:12">
      <c r="A97" t="s">
        <v>61</v>
      </c>
      <c r="B97" s="3">
        <f>$B$12*(1-B96)</f>
        <v>9999.9999999999982</v>
      </c>
    </row>
    <row r="98" spans="1:12">
      <c r="A98" s="4" t="s">
        <v>62</v>
      </c>
      <c r="B98" s="3">
        <f>-B97</f>
        <v>-9999.9999999999982</v>
      </c>
      <c r="C98" s="3">
        <f>$C$21</f>
        <v>39001.949263157898</v>
      </c>
      <c r="D98" s="3">
        <f>$D$21</f>
        <v>39001.949263157898</v>
      </c>
      <c r="E98" s="3">
        <f>$E$21</f>
        <v>39001.949263157898</v>
      </c>
      <c r="F98" s="3">
        <f>$F$21</f>
        <v>39001.949263157898</v>
      </c>
      <c r="G98" s="3">
        <f>$G$21</f>
        <v>4001.9492631578905</v>
      </c>
      <c r="H98" s="3">
        <f>$H$21</f>
        <v>39001.949263157898</v>
      </c>
      <c r="I98" s="3">
        <f>$I$21</f>
        <v>39001.949263157898</v>
      </c>
      <c r="J98" s="3">
        <f>$J$21</f>
        <v>39001.949263157898</v>
      </c>
      <c r="K98" s="3">
        <f>$K$21</f>
        <v>39001.949263157898</v>
      </c>
      <c r="L98" s="3">
        <f>$L$21</f>
        <v>39001.949263157898</v>
      </c>
    </row>
    <row r="99" spans="1:12">
      <c r="A99" s="4" t="s">
        <v>25</v>
      </c>
      <c r="B99" s="4">
        <f>IFERROR(IRR(B98:L98),NA())</f>
        <v>3.8953449271369651</v>
      </c>
    </row>
    <row r="101" spans="1:12">
      <c r="A101" t="s">
        <v>41</v>
      </c>
      <c r="B101" s="4">
        <v>0.85</v>
      </c>
    </row>
    <row r="102" spans="1:12">
      <c r="A102" t="s">
        <v>61</v>
      </c>
      <c r="B102" s="3">
        <f>$B$12*(1-B101)</f>
        <v>7500.0000000000009</v>
      </c>
    </row>
    <row r="103" spans="1:12">
      <c r="A103" s="4" t="s">
        <v>62</v>
      </c>
      <c r="B103" s="3">
        <f>-B102</f>
        <v>-7500.0000000000009</v>
      </c>
      <c r="C103" s="3">
        <f>$C$21</f>
        <v>39001.949263157898</v>
      </c>
      <c r="D103" s="3">
        <f>$D$21</f>
        <v>39001.949263157898</v>
      </c>
      <c r="E103" s="3">
        <f>$E$21</f>
        <v>39001.949263157898</v>
      </c>
      <c r="F103" s="3">
        <f>$F$21</f>
        <v>39001.949263157898</v>
      </c>
      <c r="G103" s="3">
        <f>$G$21</f>
        <v>4001.9492631578905</v>
      </c>
      <c r="H103" s="3">
        <f>$H$21</f>
        <v>39001.949263157898</v>
      </c>
      <c r="I103" s="3">
        <f>$I$21</f>
        <v>39001.949263157898</v>
      </c>
      <c r="J103" s="3">
        <f>$J$21</f>
        <v>39001.949263157898</v>
      </c>
      <c r="K103" s="3">
        <f>$K$21</f>
        <v>39001.949263157898</v>
      </c>
      <c r="L103" s="3">
        <f>$L$21</f>
        <v>39001.949263157898</v>
      </c>
    </row>
    <row r="104" spans="1:12">
      <c r="A104" s="4" t="s">
        <v>25</v>
      </c>
      <c r="B104" s="4">
        <f>IFERROR(IRR(B103:L103),NA())</f>
        <v>5.1976071280679701</v>
      </c>
    </row>
    <row r="106" spans="1:12">
      <c r="A106" t="s">
        <v>41</v>
      </c>
      <c r="B106" s="4">
        <v>0.9</v>
      </c>
    </row>
    <row r="107" spans="1:12">
      <c r="A107" t="s">
        <v>61</v>
      </c>
      <c r="B107" s="3">
        <f>$B$12*(1-B106)</f>
        <v>4999.9999999999991</v>
      </c>
    </row>
    <row r="108" spans="1:12">
      <c r="A108" s="4" t="s">
        <v>62</v>
      </c>
      <c r="B108" s="3">
        <f>-B107</f>
        <v>-4999.9999999999991</v>
      </c>
      <c r="C108" s="3">
        <f>$C$21</f>
        <v>39001.949263157898</v>
      </c>
      <c r="D108" s="3">
        <f>$D$21</f>
        <v>39001.949263157898</v>
      </c>
      <c r="E108" s="3">
        <f>$E$21</f>
        <v>39001.949263157898</v>
      </c>
      <c r="F108" s="3">
        <f>$F$21</f>
        <v>39001.949263157898</v>
      </c>
      <c r="G108" s="3">
        <f>$G$21</f>
        <v>4001.9492631578905</v>
      </c>
      <c r="H108" s="3">
        <f>$H$21</f>
        <v>39001.949263157898</v>
      </c>
      <c r="I108" s="3">
        <f>$I$21</f>
        <v>39001.949263157898</v>
      </c>
      <c r="J108" s="3">
        <f>$J$21</f>
        <v>39001.949263157898</v>
      </c>
      <c r="K108" s="3">
        <f>$K$21</f>
        <v>39001.949263157898</v>
      </c>
      <c r="L108" s="3">
        <f>$L$21</f>
        <v>39001.949263157898</v>
      </c>
    </row>
    <row r="109" spans="1:12">
      <c r="A109" s="4" t="s">
        <v>25</v>
      </c>
      <c r="B109" s="4">
        <f>IFERROR(IRR(B108:L108),NA())</f>
        <v>7.7993549399211446</v>
      </c>
    </row>
    <row r="111" spans="1:12">
      <c r="A111" t="s">
        <v>41</v>
      </c>
      <c r="B111" s="4">
        <v>0.95</v>
      </c>
    </row>
    <row r="112" spans="1:12">
      <c r="A112" t="s">
        <v>61</v>
      </c>
      <c r="B112" s="3">
        <f>$B$12*(1-B111)</f>
        <v>2500.0000000000023</v>
      </c>
    </row>
    <row r="113" spans="1:20">
      <c r="A113" s="4" t="s">
        <v>62</v>
      </c>
      <c r="B113" s="3">
        <f>-B112</f>
        <v>-2500.0000000000023</v>
      </c>
      <c r="C113" s="3">
        <f>$C$21</f>
        <v>39001.949263157898</v>
      </c>
      <c r="D113" s="3">
        <f>$D$21</f>
        <v>39001.949263157898</v>
      </c>
      <c r="E113" s="3">
        <f>$E$21</f>
        <v>39001.949263157898</v>
      </c>
      <c r="F113" s="3">
        <f>$F$21</f>
        <v>39001.949263157898</v>
      </c>
      <c r="G113" s="3">
        <f>$G$21</f>
        <v>4001.9492631578905</v>
      </c>
      <c r="H113" s="3">
        <f>$H$21</f>
        <v>39001.949263157898</v>
      </c>
      <c r="I113" s="3">
        <f>$I$21</f>
        <v>39001.949263157898</v>
      </c>
      <c r="J113" s="3">
        <f>$J$21</f>
        <v>39001.949263157898</v>
      </c>
      <c r="K113" s="3">
        <f>$K$21</f>
        <v>39001.949263157898</v>
      </c>
      <c r="L113" s="3">
        <f>$L$21</f>
        <v>39001.949263157898</v>
      </c>
    </row>
    <row r="114" spans="1:20">
      <c r="A114" s="4" t="s">
        <v>25</v>
      </c>
      <c r="B114" s="4">
        <f>IFERROR(IRR(B113:L113),NA())</f>
        <v>15.600606464585642</v>
      </c>
    </row>
    <row r="116" spans="1:20">
      <c r="A116" t="s">
        <v>41</v>
      </c>
      <c r="B116" s="4">
        <v>1</v>
      </c>
    </row>
    <row r="117" spans="1:20">
      <c r="A117" t="s">
        <v>61</v>
      </c>
      <c r="B117" s="3">
        <f>$B$12*(1-B116)</f>
        <v>0</v>
      </c>
    </row>
    <row r="118" spans="1:20">
      <c r="A118" s="4" t="s">
        <v>62</v>
      </c>
      <c r="B118" s="3">
        <f>-B117</f>
        <v>0</v>
      </c>
      <c r="C118" s="3">
        <f>$C$21</f>
        <v>39001.949263157898</v>
      </c>
      <c r="D118" s="3">
        <f>$D$21</f>
        <v>39001.949263157898</v>
      </c>
      <c r="E118" s="3">
        <f>$E$21</f>
        <v>39001.949263157898</v>
      </c>
      <c r="F118" s="3">
        <f>$F$21</f>
        <v>39001.949263157898</v>
      </c>
      <c r="G118" s="3">
        <f>$G$21</f>
        <v>4001.9492631578905</v>
      </c>
      <c r="H118" s="3">
        <f>$H$21</f>
        <v>39001.949263157898</v>
      </c>
      <c r="I118" s="3">
        <f>$I$21</f>
        <v>39001.949263157898</v>
      </c>
      <c r="J118" s="3">
        <f>$J$21</f>
        <v>39001.949263157898</v>
      </c>
      <c r="K118" s="3">
        <f>$K$21</f>
        <v>39001.949263157898</v>
      </c>
      <c r="L118" s="3">
        <f>$L$21</f>
        <v>39001.949263157898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63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>
        <f>B29</f>
        <v>0.8333989023781494</v>
      </c>
      <c r="C124" s="4">
        <f>B34</f>
        <v>0.88547460143143475</v>
      </c>
      <c r="D124" s="4">
        <f>B39</f>
        <v>0.94403479535938573</v>
      </c>
      <c r="E124" s="4">
        <f>B44</f>
        <v>1.0103706476985046</v>
      </c>
      <c r="F124" s="4">
        <f>B49</f>
        <v>1.086137894425538</v>
      </c>
      <c r="G124" s="4">
        <f>B54</f>
        <v>1.173496068284861</v>
      </c>
      <c r="H124" s="4">
        <f>B59</f>
        <v>1.2753173435368583</v>
      </c>
      <c r="I124" s="4">
        <f>B64</f>
        <v>1.3955094346727894</v>
      </c>
      <c r="J124" s="4">
        <f>B69</f>
        <v>1.5395326040715354</v>
      </c>
      <c r="K124" s="4">
        <f>B74</f>
        <v>1.7152621055975752</v>
      </c>
      <c r="L124" s="4">
        <f>B79</f>
        <v>1.9344988885589407</v>
      </c>
      <c r="M124" s="4">
        <f>B84</f>
        <v>2.2157777347088108</v>
      </c>
      <c r="N124" s="4">
        <f>B89</f>
        <v>2.5899879694613106</v>
      </c>
      <c r="O124" s="4">
        <f>B94</f>
        <v>3.1127466933934409</v>
      </c>
      <c r="P124" s="4">
        <f>B99</f>
        <v>3.8953449271369651</v>
      </c>
      <c r="Q124" s="4">
        <f>B104</f>
        <v>5.1976071280679701</v>
      </c>
      <c r="R124" s="4">
        <f>B109</f>
        <v>7.7993549399211446</v>
      </c>
      <c r="S124" s="4">
        <f>B114</f>
        <v>15.600606464585642</v>
      </c>
      <c r="T124" s="4" t="e">
        <f>B119</f>
        <v>#N/A</v>
      </c>
    </row>
    <row r="125" spans="1:20">
      <c r="A125" t="s">
        <v>64</v>
      </c>
      <c r="B125" s="4" t="e">
        <f>LOOKUP('IRR inputs &amp; outputs'!B18, B124:P124, B123:P123)</f>
        <v>#N/A</v>
      </c>
    </row>
    <row r="126" spans="1:20">
      <c r="A126" t="s">
        <v>65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8C5BC-F285-45A1-BC53-8D476C4F45F8}">
  <dimension ref="A1:T126"/>
  <sheetViews>
    <sheetView workbookViewId="0">
      <selection activeCell="A17" sqref="A17:L18"/>
    </sheetView>
  </sheetViews>
  <sheetFormatPr defaultRowHeight="14.25"/>
  <cols>
    <col min="1" max="1" width="14.7109375" bestFit="1" customWidth="1"/>
  </cols>
  <sheetData>
    <row r="1" spans="1:15">
      <c r="A1" s="1" t="s">
        <v>24</v>
      </c>
      <c r="B1" s="5">
        <v>0.4</v>
      </c>
    </row>
    <row r="2" spans="1:15">
      <c r="A2" t="s">
        <v>44</v>
      </c>
      <c r="B2">
        <f>24*365</f>
        <v>8760</v>
      </c>
    </row>
    <row r="3" spans="1:15">
      <c r="A3" t="s">
        <v>45</v>
      </c>
      <c r="B3">
        <f>B2*B1*'IRR inputs &amp; outputs'!B2*'IRR inputs &amp; outputs'!B3*'IRR inputs &amp; outputs'!$B$7</f>
        <v>173798.39999999999</v>
      </c>
      <c r="C3" t="s">
        <v>46</v>
      </c>
    </row>
    <row r="5" spans="1:15">
      <c r="A5" s="1" t="s">
        <v>47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48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49</v>
      </c>
      <c r="B7" s="2"/>
      <c r="C7" s="2">
        <f>$B$3*'IRR inputs &amp; outputs'!$B$13</f>
        <v>95589.12000000001</v>
      </c>
      <c r="D7" s="2">
        <f>$B$3*'IRR inputs &amp; outputs'!$B$13</f>
        <v>95589.12000000001</v>
      </c>
      <c r="E7" s="2">
        <f>$B$3*'IRR inputs &amp; outputs'!$B$13</f>
        <v>95589.12000000001</v>
      </c>
      <c r="F7" s="2">
        <f>$B$3*'IRR inputs &amp; outputs'!$B$13</f>
        <v>95589.12000000001</v>
      </c>
      <c r="G7" s="2">
        <f>$B$3*'IRR inputs &amp; outputs'!$B$13</f>
        <v>95589.12000000001</v>
      </c>
      <c r="H7" s="2">
        <f>$B$3*'IRR inputs &amp; outputs'!$B$13</f>
        <v>95589.12000000001</v>
      </c>
      <c r="I7" s="2">
        <f>$B$3*'IRR inputs &amp; outputs'!$B$13</f>
        <v>95589.12000000001</v>
      </c>
      <c r="J7" s="2">
        <f>$B$3*'IRR inputs &amp; outputs'!$B$13</f>
        <v>95589.12000000001</v>
      </c>
      <c r="K7" s="2">
        <f>$B$3*'IRR inputs &amp; outputs'!$B$13</f>
        <v>95589.12000000001</v>
      </c>
      <c r="L7" s="2">
        <f>$B$3*'IRR inputs &amp; outputs'!$B$13</f>
        <v>95589.12000000001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50</v>
      </c>
      <c r="B9" s="2"/>
      <c r="C9" s="2">
        <f t="shared" ref="C9:L9" si="0">SUM(C7:C8)</f>
        <v>95589.12000000001</v>
      </c>
      <c r="D9" s="2">
        <f t="shared" si="0"/>
        <v>95589.12000000001</v>
      </c>
      <c r="E9" s="2">
        <f t="shared" si="0"/>
        <v>95589.12000000001</v>
      </c>
      <c r="F9" s="2">
        <f t="shared" si="0"/>
        <v>95589.12000000001</v>
      </c>
      <c r="G9" s="2">
        <f t="shared" si="0"/>
        <v>95589.12000000001</v>
      </c>
      <c r="H9" s="2">
        <f t="shared" si="0"/>
        <v>95589.12000000001</v>
      </c>
      <c r="I9" s="2">
        <f t="shared" si="0"/>
        <v>95589.12000000001</v>
      </c>
      <c r="J9" s="2">
        <f t="shared" si="0"/>
        <v>95589.12000000001</v>
      </c>
      <c r="K9" s="2">
        <f t="shared" si="0"/>
        <v>95589.12000000001</v>
      </c>
      <c r="L9" s="2">
        <f t="shared" si="0"/>
        <v>95589.12000000001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51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50000</v>
      </c>
      <c r="C12" s="2"/>
      <c r="D12" s="2"/>
      <c r="E12" s="2"/>
      <c r="F12" s="2"/>
      <c r="G12" s="2">
        <f>'IRR inputs &amp; outputs'!B15</f>
        <v>35000</v>
      </c>
      <c r="H12" s="2"/>
      <c r="I12" s="2"/>
      <c r="J12" s="2"/>
      <c r="K12" s="2"/>
      <c r="L12" s="2"/>
    </row>
    <row r="13" spans="1:15">
      <c r="A13" t="s">
        <v>52</v>
      </c>
      <c r="B13" s="2">
        <f>'IRR inputs &amp; outputs'!B16</f>
        <v>1000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53</v>
      </c>
      <c r="B14" s="2"/>
      <c r="C14" s="2">
        <f>'IRR inputs &amp; outputs'!$B$17</f>
        <v>5000</v>
      </c>
      <c r="D14" s="2">
        <f>'IRR inputs &amp; outputs'!$B$17</f>
        <v>5000</v>
      </c>
      <c r="E14" s="2">
        <f>'IRR inputs &amp; outputs'!$B$17</f>
        <v>5000</v>
      </c>
      <c r="F14" s="2">
        <f>'IRR inputs &amp; outputs'!$B$17</f>
        <v>5000</v>
      </c>
      <c r="G14" s="2">
        <f>'IRR inputs &amp; outputs'!$B$17</f>
        <v>5000</v>
      </c>
      <c r="H14" s="2">
        <f>'IRR inputs &amp; outputs'!$B$17</f>
        <v>5000</v>
      </c>
      <c r="I14" s="2">
        <f>'IRR inputs &amp; outputs'!$B$17</f>
        <v>5000</v>
      </c>
      <c r="J14" s="2">
        <f>'IRR inputs &amp; outputs'!$B$17</f>
        <v>5000</v>
      </c>
      <c r="K14" s="2">
        <f>'IRR inputs &amp; outputs'!$B$17</f>
        <v>5000</v>
      </c>
      <c r="L14" s="2">
        <f>'IRR inputs &amp; outputs'!$B$17</f>
        <v>5000</v>
      </c>
    </row>
    <row r="15" spans="1:15">
      <c r="A15" t="s">
        <v>54</v>
      </c>
      <c r="B15" s="2"/>
      <c r="C15" s="2">
        <f>'IRR inputs &amp; outputs'!B14</f>
        <v>750</v>
      </c>
      <c r="D15" s="2">
        <f>'IRR inputs &amp; outputs'!B14</f>
        <v>750</v>
      </c>
      <c r="E15" s="2">
        <f>'IRR inputs &amp; outputs'!B14</f>
        <v>750</v>
      </c>
      <c r="F15" s="2">
        <f>'IRR inputs &amp; outputs'!B14</f>
        <v>750</v>
      </c>
      <c r="G15" s="2">
        <f>'IRR inputs &amp; outputs'!B14</f>
        <v>750</v>
      </c>
      <c r="H15" s="2">
        <f>'IRR inputs &amp; outputs'!B14</f>
        <v>750</v>
      </c>
      <c r="I15" s="2">
        <f>'IRR inputs &amp; outputs'!B14</f>
        <v>750</v>
      </c>
      <c r="J15" s="2">
        <f>'IRR inputs &amp; outputs'!B14</f>
        <v>750</v>
      </c>
      <c r="K15" s="2">
        <f>'IRR inputs &amp; outputs'!B14</f>
        <v>750</v>
      </c>
      <c r="L15" s="2">
        <f>'IRR inputs &amp; outputs'!B14</f>
        <v>750</v>
      </c>
    </row>
    <row r="16" spans="1:15">
      <c r="A16" t="s">
        <v>55</v>
      </c>
      <c r="B16" s="2"/>
      <c r="C16" s="2">
        <f>(1/'IRR inputs &amp; outputs'!$B$8)*$B$3*'IRR inputs &amp; outputs'!$B$9+'IRR inputs &amp; outputs'!$B$10</f>
        <v>36589.136842105261</v>
      </c>
      <c r="D16" s="2">
        <f>(1/'IRR inputs &amp; outputs'!$B$8)*$B$3*'IRR inputs &amp; outputs'!$B$9+'IRR inputs &amp; outputs'!$B$10</f>
        <v>36589.136842105261</v>
      </c>
      <c r="E16" s="2">
        <f>(1/'IRR inputs &amp; outputs'!$B$8)*$B$3*'IRR inputs &amp; outputs'!$B$9+'IRR inputs &amp; outputs'!$B$10</f>
        <v>36589.136842105261</v>
      </c>
      <c r="F16" s="2">
        <f>(1/'IRR inputs &amp; outputs'!$B$8)*$B$3*'IRR inputs &amp; outputs'!$B$9+'IRR inputs &amp; outputs'!$B$10</f>
        <v>36589.136842105261</v>
      </c>
      <c r="G16" s="2">
        <f>(1/'IRR inputs &amp; outputs'!$B$8)*$B$3*'IRR inputs &amp; outputs'!$B$9+'IRR inputs &amp; outputs'!$B$10</f>
        <v>36589.136842105261</v>
      </c>
      <c r="H16" s="2">
        <f>(1/'IRR inputs &amp; outputs'!$B$8)*$B$3*'IRR inputs &amp; outputs'!$B$9+'IRR inputs &amp; outputs'!$B$10</f>
        <v>36589.136842105261</v>
      </c>
      <c r="I16" s="2">
        <f>(1/'IRR inputs &amp; outputs'!$B$8)*$B$3*'IRR inputs &amp; outputs'!$B$9+'IRR inputs &amp; outputs'!$B$10</f>
        <v>36589.136842105261</v>
      </c>
      <c r="J16" s="2">
        <f>(1/'IRR inputs &amp; outputs'!$B$8)*$B$3*'IRR inputs &amp; outputs'!$B$9+'IRR inputs &amp; outputs'!$B$10</f>
        <v>36589.136842105261</v>
      </c>
      <c r="K16" s="2">
        <f>(1/'IRR inputs &amp; outputs'!$B$8)*$B$3*'IRR inputs &amp; outputs'!$B$9+'IRR inputs &amp; outputs'!$B$10</f>
        <v>36589.136842105261</v>
      </c>
      <c r="L16" s="2">
        <f>(1/'IRR inputs &amp; outputs'!$B$8)*$B$3*'IRR inputs &amp; outputs'!$B$9+'IRR inputs &amp; outputs'!$B$10</f>
        <v>36589.136842105261</v>
      </c>
    </row>
    <row r="17" spans="1:12">
      <c r="A17" t="s">
        <v>56</v>
      </c>
      <c r="B17" s="2"/>
      <c r="C17" s="46">
        <f>'IRR inputs &amp; outputs'!$B$12</f>
        <v>600</v>
      </c>
      <c r="D17" s="2">
        <f>'IRR inputs &amp; outputs'!$B$12</f>
        <v>600</v>
      </c>
      <c r="E17" s="2">
        <f>'IRR inputs &amp; outputs'!$B$12</f>
        <v>600</v>
      </c>
      <c r="F17" s="2">
        <f>'IRR inputs &amp; outputs'!$B$12</f>
        <v>600</v>
      </c>
      <c r="G17" s="2">
        <f>'IRR inputs &amp; outputs'!$B$12</f>
        <v>600</v>
      </c>
      <c r="H17" s="2">
        <f>'IRR inputs &amp; outputs'!$B$12</f>
        <v>600</v>
      </c>
      <c r="I17" s="2">
        <f>'IRR inputs &amp; outputs'!$B$12</f>
        <v>600</v>
      </c>
      <c r="J17" s="2">
        <f>'IRR inputs &amp; outputs'!$B$12</f>
        <v>600</v>
      </c>
      <c r="K17" s="2">
        <f>'IRR inputs &amp; outputs'!$B$12</f>
        <v>600</v>
      </c>
      <c r="L17" s="2">
        <f>'IRR inputs &amp; outputs'!$B$12</f>
        <v>600</v>
      </c>
    </row>
    <row r="18" spans="1:12">
      <c r="A18" t="s">
        <v>57</v>
      </c>
      <c r="B18" s="2"/>
      <c r="C18" s="2">
        <f>$B$3*'IRR inputs &amp; outputs'!$B$11*'IRR inputs &amp; outputs'!$B$13</f>
        <v>7169.1840000000002</v>
      </c>
      <c r="D18" s="2">
        <f>$B$3*'IRR inputs &amp; outputs'!$B$11*'IRR inputs &amp; outputs'!$B$13</f>
        <v>7169.1840000000002</v>
      </c>
      <c r="E18" s="2">
        <f>$B$3*'IRR inputs &amp; outputs'!$B$11*'IRR inputs &amp; outputs'!$B$13</f>
        <v>7169.1840000000002</v>
      </c>
      <c r="F18" s="2">
        <f>$B$3*'IRR inputs &amp; outputs'!$B$11*'IRR inputs &amp; outputs'!$B$13</f>
        <v>7169.1840000000002</v>
      </c>
      <c r="G18" s="2">
        <f>$B$3*'IRR inputs &amp; outputs'!$B$11*'IRR inputs &amp; outputs'!$B$13</f>
        <v>7169.1840000000002</v>
      </c>
      <c r="H18" s="2">
        <f>$B$3*'IRR inputs &amp; outputs'!$B$11*'IRR inputs &amp; outputs'!$B$13</f>
        <v>7169.1840000000002</v>
      </c>
      <c r="I18" s="2">
        <f>$B$3*'IRR inputs &amp; outputs'!$B$11*'IRR inputs &amp; outputs'!$B$13</f>
        <v>7169.1840000000002</v>
      </c>
      <c r="J18" s="2">
        <f>$B$3*'IRR inputs &amp; outputs'!$B$11*'IRR inputs &amp; outputs'!$B$13</f>
        <v>7169.1840000000002</v>
      </c>
      <c r="K18" s="2">
        <f>$B$3*'IRR inputs &amp; outputs'!$B$11*'IRR inputs &amp; outputs'!$B$13</f>
        <v>7169.1840000000002</v>
      </c>
      <c r="L18" s="2">
        <f>$B$3*'IRR inputs &amp; outputs'!$B$11*'IRR inputs &amp; outputs'!$B$13</f>
        <v>7169.1840000000002</v>
      </c>
    </row>
    <row r="19" spans="1:12">
      <c r="A19" t="s">
        <v>58</v>
      </c>
      <c r="B19" s="3">
        <f t="shared" ref="B19:L19" si="1">SUM(B12:B18)</f>
        <v>51000</v>
      </c>
      <c r="C19" s="3">
        <f t="shared" si="1"/>
        <v>50108.320842105262</v>
      </c>
      <c r="D19" s="3">
        <f t="shared" si="1"/>
        <v>50108.320842105262</v>
      </c>
      <c r="E19" s="3">
        <f t="shared" si="1"/>
        <v>50108.320842105262</v>
      </c>
      <c r="F19" s="3">
        <f t="shared" si="1"/>
        <v>50108.320842105262</v>
      </c>
      <c r="G19" s="3">
        <f t="shared" si="1"/>
        <v>85108.320842105255</v>
      </c>
      <c r="H19" s="3">
        <f t="shared" si="1"/>
        <v>50108.320842105262</v>
      </c>
      <c r="I19" s="3">
        <f t="shared" si="1"/>
        <v>50108.320842105262</v>
      </c>
      <c r="J19" s="3">
        <f t="shared" si="1"/>
        <v>50108.320842105262</v>
      </c>
      <c r="K19" s="3">
        <f t="shared" si="1"/>
        <v>50108.320842105262</v>
      </c>
      <c r="L19" s="3">
        <f t="shared" si="1"/>
        <v>50108.320842105262</v>
      </c>
    </row>
    <row r="21" spans="1:12">
      <c r="A21" t="s">
        <v>59</v>
      </c>
      <c r="B21" s="3">
        <f t="shared" ref="B21:L21" si="2">B9-B19</f>
        <v>-51000</v>
      </c>
      <c r="C21" s="3">
        <f t="shared" si="2"/>
        <v>45480.799157894748</v>
      </c>
      <c r="D21" s="3">
        <f t="shared" si="2"/>
        <v>45480.799157894748</v>
      </c>
      <c r="E21" s="3">
        <f t="shared" si="2"/>
        <v>45480.799157894748</v>
      </c>
      <c r="F21" s="3">
        <f t="shared" si="2"/>
        <v>45480.799157894748</v>
      </c>
      <c r="G21" s="3">
        <f t="shared" si="2"/>
        <v>10480.799157894755</v>
      </c>
      <c r="H21" s="3">
        <f t="shared" si="2"/>
        <v>45480.799157894748</v>
      </c>
      <c r="I21" s="3">
        <f t="shared" si="2"/>
        <v>45480.799157894748</v>
      </c>
      <c r="J21" s="3">
        <f t="shared" si="2"/>
        <v>45480.799157894748</v>
      </c>
      <c r="K21" s="3">
        <f t="shared" si="2"/>
        <v>45480.799157894748</v>
      </c>
      <c r="L21" s="3">
        <f t="shared" si="2"/>
        <v>45480.799157894748</v>
      </c>
    </row>
    <row r="23" spans="1:12">
      <c r="A23" t="s">
        <v>25</v>
      </c>
      <c r="B23" s="4">
        <f>IFERROR(IRR(B21:L21),NA())</f>
        <v>0.86365184039542142</v>
      </c>
    </row>
    <row r="25" spans="1:12">
      <c r="A25" s="1" t="s">
        <v>60</v>
      </c>
    </row>
    <row r="26" spans="1:12">
      <c r="A26" t="s">
        <v>41</v>
      </c>
      <c r="B26" s="4">
        <v>0.1</v>
      </c>
    </row>
    <row r="27" spans="1:12">
      <c r="A27" t="s">
        <v>61</v>
      </c>
      <c r="B27" s="3">
        <f>$B$12*(1-B26)</f>
        <v>45000</v>
      </c>
    </row>
    <row r="28" spans="1:12">
      <c r="A28" s="4" t="s">
        <v>62</v>
      </c>
      <c r="B28" s="3">
        <f>-B27</f>
        <v>-45000</v>
      </c>
      <c r="C28" s="3">
        <f>$C$21</f>
        <v>45480.799157894748</v>
      </c>
      <c r="D28" s="3">
        <f>$D$21</f>
        <v>45480.799157894748</v>
      </c>
      <c r="E28" s="3">
        <f>$E$21</f>
        <v>45480.799157894748</v>
      </c>
      <c r="F28" s="3">
        <f>$F$21</f>
        <v>45480.799157894748</v>
      </c>
      <c r="G28" s="3">
        <f>$G$21</f>
        <v>10480.799157894755</v>
      </c>
      <c r="H28" s="3">
        <f>$H$21</f>
        <v>45480.799157894748</v>
      </c>
      <c r="I28" s="3">
        <f>$I$21</f>
        <v>45480.799157894748</v>
      </c>
      <c r="J28" s="3">
        <f>$J$21</f>
        <v>45480.799157894748</v>
      </c>
      <c r="K28" s="3">
        <f>$K$21</f>
        <v>45480.799157894748</v>
      </c>
      <c r="L28" s="3">
        <f>$L$21</f>
        <v>45480.799157894748</v>
      </c>
    </row>
    <row r="29" spans="1:12">
      <c r="A29" s="4" t="s">
        <v>25</v>
      </c>
      <c r="B29" s="4">
        <f>IFERROR(IRR(B28:L28),NA())</f>
        <v>0.98475026239930985</v>
      </c>
    </row>
    <row r="30" spans="1:12">
      <c r="A30" s="4"/>
      <c r="B30" s="3"/>
    </row>
    <row r="31" spans="1:12">
      <c r="A31" t="s">
        <v>41</v>
      </c>
      <c r="B31" s="4">
        <v>0.15</v>
      </c>
    </row>
    <row r="32" spans="1:12">
      <c r="A32" t="s">
        <v>61</v>
      </c>
      <c r="B32" s="3">
        <f>$B$12*(1-B31)</f>
        <v>42500</v>
      </c>
    </row>
    <row r="33" spans="1:12">
      <c r="A33" s="4" t="s">
        <v>62</v>
      </c>
      <c r="B33" s="3">
        <f>-B32</f>
        <v>-42500</v>
      </c>
      <c r="C33" s="3">
        <f>$C$21</f>
        <v>45480.799157894748</v>
      </c>
      <c r="D33" s="3">
        <f>$D$21</f>
        <v>45480.799157894748</v>
      </c>
      <c r="E33" s="3">
        <f>$E$21</f>
        <v>45480.799157894748</v>
      </c>
      <c r="F33" s="3">
        <f>$F$21</f>
        <v>45480.799157894748</v>
      </c>
      <c r="G33" s="3">
        <f>$G$21</f>
        <v>10480.799157894755</v>
      </c>
      <c r="H33" s="3">
        <f>$H$21</f>
        <v>45480.799157894748</v>
      </c>
      <c r="I33" s="3">
        <f>$I$21</f>
        <v>45480.799157894748</v>
      </c>
      <c r="J33" s="3">
        <f>$J$21</f>
        <v>45480.799157894748</v>
      </c>
      <c r="K33" s="3">
        <f>$K$21</f>
        <v>45480.799157894748</v>
      </c>
      <c r="L33" s="3">
        <f>$L$21</f>
        <v>45480.799157894748</v>
      </c>
    </row>
    <row r="34" spans="1:12">
      <c r="A34" s="4" t="s">
        <v>25</v>
      </c>
      <c r="B34" s="4">
        <f>IFERROR(IRR(B33:L33),NA())</f>
        <v>1.0452479216676682</v>
      </c>
    </row>
    <row r="35" spans="1:12">
      <c r="A35" s="4"/>
      <c r="B35" s="3"/>
    </row>
    <row r="36" spans="1:12">
      <c r="A36" t="s">
        <v>41</v>
      </c>
      <c r="B36" s="4">
        <v>0.2</v>
      </c>
    </row>
    <row r="37" spans="1:12">
      <c r="A37" t="s">
        <v>61</v>
      </c>
      <c r="B37" s="3">
        <f>$B$12*(1-B36)</f>
        <v>40000</v>
      </c>
    </row>
    <row r="38" spans="1:12">
      <c r="A38" s="4" t="s">
        <v>62</v>
      </c>
      <c r="B38" s="3">
        <f>-B37</f>
        <v>-40000</v>
      </c>
      <c r="C38" s="3">
        <f>$C$21</f>
        <v>45480.799157894748</v>
      </c>
      <c r="D38" s="3">
        <f>$D$21</f>
        <v>45480.799157894748</v>
      </c>
      <c r="E38" s="3">
        <f>$E$21</f>
        <v>45480.799157894748</v>
      </c>
      <c r="F38" s="3">
        <f>$F$21</f>
        <v>45480.799157894748</v>
      </c>
      <c r="G38" s="3">
        <f>$G$21</f>
        <v>10480.799157894755</v>
      </c>
      <c r="H38" s="3">
        <f>$H$21</f>
        <v>45480.799157894748</v>
      </c>
      <c r="I38" s="3">
        <f>$I$21</f>
        <v>45480.799157894748</v>
      </c>
      <c r="J38" s="3">
        <f>$J$21</f>
        <v>45480.799157894748</v>
      </c>
      <c r="K38" s="3">
        <f>$K$21</f>
        <v>45480.799157894748</v>
      </c>
      <c r="L38" s="3">
        <f>$L$21</f>
        <v>45480.799157894748</v>
      </c>
    </row>
    <row r="39" spans="1:12">
      <c r="A39" s="4" t="s">
        <v>25</v>
      </c>
      <c r="B39" s="4">
        <f>IFERROR(IRR(B38:L38),NA())</f>
        <v>1.1132680588844646</v>
      </c>
    </row>
    <row r="41" spans="1:12">
      <c r="A41" t="s">
        <v>41</v>
      </c>
      <c r="B41" s="4">
        <v>0.25</v>
      </c>
    </row>
    <row r="42" spans="1:12">
      <c r="A42" t="s">
        <v>61</v>
      </c>
      <c r="B42" s="3">
        <f>$B$12*(1-B41)</f>
        <v>37500</v>
      </c>
    </row>
    <row r="43" spans="1:12">
      <c r="A43" s="4" t="s">
        <v>62</v>
      </c>
      <c r="B43" s="3">
        <f>-B42</f>
        <v>-37500</v>
      </c>
      <c r="C43" s="3">
        <f>$C$21</f>
        <v>45480.799157894748</v>
      </c>
      <c r="D43" s="3">
        <f>$D$21</f>
        <v>45480.799157894748</v>
      </c>
      <c r="E43" s="3">
        <f>$E$21</f>
        <v>45480.799157894748</v>
      </c>
      <c r="F43" s="3">
        <f>$F$21</f>
        <v>45480.799157894748</v>
      </c>
      <c r="G43" s="3">
        <f>$G$21</f>
        <v>10480.799157894755</v>
      </c>
      <c r="H43" s="3">
        <f>$H$21</f>
        <v>45480.799157894748</v>
      </c>
      <c r="I43" s="3">
        <f>$I$21</f>
        <v>45480.799157894748</v>
      </c>
      <c r="J43" s="3">
        <f>$J$21</f>
        <v>45480.799157894748</v>
      </c>
      <c r="K43" s="3">
        <f>$K$21</f>
        <v>45480.799157894748</v>
      </c>
      <c r="L43" s="3">
        <f>$L$21</f>
        <v>45480.799157894748</v>
      </c>
    </row>
    <row r="44" spans="1:12">
      <c r="A44" s="4" t="s">
        <v>25</v>
      </c>
      <c r="B44" s="4">
        <f>IFERROR(IRR(B43:L43),NA())</f>
        <v>1.1903060987163241</v>
      </c>
    </row>
    <row r="46" spans="1:12">
      <c r="A46" t="s">
        <v>41</v>
      </c>
      <c r="B46" s="4">
        <v>0.3</v>
      </c>
    </row>
    <row r="47" spans="1:12">
      <c r="A47" t="s">
        <v>61</v>
      </c>
      <c r="B47" s="3">
        <f>$B$12*(1-B46)</f>
        <v>35000</v>
      </c>
    </row>
    <row r="48" spans="1:12">
      <c r="A48" s="4" t="s">
        <v>62</v>
      </c>
      <c r="B48" s="3">
        <f>-B47</f>
        <v>-35000</v>
      </c>
      <c r="C48" s="3">
        <f>$C$21</f>
        <v>45480.799157894748</v>
      </c>
      <c r="D48" s="3">
        <f>$D$21</f>
        <v>45480.799157894748</v>
      </c>
      <c r="E48" s="3">
        <f>$E$21</f>
        <v>45480.799157894748</v>
      </c>
      <c r="F48" s="3">
        <f>$F$21</f>
        <v>45480.799157894748</v>
      </c>
      <c r="G48" s="3">
        <f>$G$21</f>
        <v>10480.799157894755</v>
      </c>
      <c r="H48" s="3">
        <f>$H$21</f>
        <v>45480.799157894748</v>
      </c>
      <c r="I48" s="3">
        <f>$I$21</f>
        <v>45480.799157894748</v>
      </c>
      <c r="J48" s="3">
        <f>$J$21</f>
        <v>45480.799157894748</v>
      </c>
      <c r="K48" s="3">
        <f>$K$21</f>
        <v>45480.799157894748</v>
      </c>
      <c r="L48" s="3">
        <f>$L$21</f>
        <v>45480.799157894748</v>
      </c>
    </row>
    <row r="49" spans="1:12">
      <c r="A49" s="4" t="s">
        <v>25</v>
      </c>
      <c r="B49" s="4">
        <f>IFERROR(IRR(B48:L48),NA())</f>
        <v>1.2782812839841262</v>
      </c>
    </row>
    <row r="51" spans="1:12">
      <c r="A51" t="s">
        <v>41</v>
      </c>
      <c r="B51" s="4">
        <v>0.35</v>
      </c>
    </row>
    <row r="52" spans="1:12">
      <c r="A52" t="s">
        <v>61</v>
      </c>
      <c r="B52" s="3">
        <f>$B$12*(1-B51)</f>
        <v>32500</v>
      </c>
    </row>
    <row r="53" spans="1:12">
      <c r="A53" s="4" t="s">
        <v>62</v>
      </c>
      <c r="B53" s="3">
        <f>-B52</f>
        <v>-32500</v>
      </c>
      <c r="C53" s="3">
        <f>$C$21</f>
        <v>45480.799157894748</v>
      </c>
      <c r="D53" s="3">
        <f>$D$21</f>
        <v>45480.799157894748</v>
      </c>
      <c r="E53" s="3">
        <f>$E$21</f>
        <v>45480.799157894748</v>
      </c>
      <c r="F53" s="3">
        <f>$F$21</f>
        <v>45480.799157894748</v>
      </c>
      <c r="G53" s="3">
        <f>$G$21</f>
        <v>10480.799157894755</v>
      </c>
      <c r="H53" s="3">
        <f>$H$21</f>
        <v>45480.799157894748</v>
      </c>
      <c r="I53" s="3">
        <f>$I$21</f>
        <v>45480.799157894748</v>
      </c>
      <c r="J53" s="3">
        <f>$J$21</f>
        <v>45480.799157894748</v>
      </c>
      <c r="K53" s="3">
        <f>$K$21</f>
        <v>45480.799157894748</v>
      </c>
      <c r="L53" s="3">
        <f>$L$21</f>
        <v>45480.799157894748</v>
      </c>
    </row>
    <row r="54" spans="1:12">
      <c r="A54" s="4" t="s">
        <v>25</v>
      </c>
      <c r="B54" s="4">
        <f>IFERROR(IRR(B53:L53),NA())</f>
        <v>1.3796992443467526</v>
      </c>
    </row>
    <row r="56" spans="1:12">
      <c r="A56" t="s">
        <v>41</v>
      </c>
      <c r="B56" s="4">
        <v>0.4</v>
      </c>
    </row>
    <row r="57" spans="1:12">
      <c r="A57" t="s">
        <v>61</v>
      </c>
      <c r="B57" s="3">
        <f>$B$12*(1-B56)</f>
        <v>30000</v>
      </c>
    </row>
    <row r="58" spans="1:12">
      <c r="A58" s="4" t="s">
        <v>62</v>
      </c>
      <c r="B58" s="3">
        <f>-B57</f>
        <v>-30000</v>
      </c>
      <c r="C58" s="3">
        <f>$C$21</f>
        <v>45480.799157894748</v>
      </c>
      <c r="D58" s="3">
        <f>$D$21</f>
        <v>45480.799157894748</v>
      </c>
      <c r="E58" s="3">
        <f>$E$21</f>
        <v>45480.799157894748</v>
      </c>
      <c r="F58" s="3">
        <f>$F$21</f>
        <v>45480.799157894748</v>
      </c>
      <c r="G58" s="3">
        <f>$G$21</f>
        <v>10480.799157894755</v>
      </c>
      <c r="H58" s="3">
        <f>$H$21</f>
        <v>45480.799157894748</v>
      </c>
      <c r="I58" s="3">
        <f>$I$21</f>
        <v>45480.799157894748</v>
      </c>
      <c r="J58" s="3">
        <f>$J$21</f>
        <v>45480.799157894748</v>
      </c>
      <c r="K58" s="3">
        <f>$K$21</f>
        <v>45480.799157894748</v>
      </c>
      <c r="L58" s="3">
        <f>$L$21</f>
        <v>45480.799157894748</v>
      </c>
    </row>
    <row r="59" spans="1:12">
      <c r="A59" s="4" t="s">
        <v>25</v>
      </c>
      <c r="B59" s="4">
        <f>IFERROR(IRR(B58:L58),NA())</f>
        <v>1.497895970580545</v>
      </c>
    </row>
    <row r="61" spans="1:12">
      <c r="A61" t="s">
        <v>41</v>
      </c>
      <c r="B61" s="4">
        <v>0.45</v>
      </c>
    </row>
    <row r="62" spans="1:12">
      <c r="A62" t="s">
        <v>61</v>
      </c>
      <c r="B62" s="3">
        <f>$B$12*(1-B61)</f>
        <v>27500.000000000004</v>
      </c>
    </row>
    <row r="63" spans="1:12">
      <c r="A63" s="4" t="s">
        <v>62</v>
      </c>
      <c r="B63" s="3">
        <f>-B62</f>
        <v>-27500.000000000004</v>
      </c>
      <c r="C63" s="3">
        <f>$C$21</f>
        <v>45480.799157894748</v>
      </c>
      <c r="D63" s="3">
        <f>$D$21</f>
        <v>45480.799157894748</v>
      </c>
      <c r="E63" s="3">
        <f>$E$21</f>
        <v>45480.799157894748</v>
      </c>
      <c r="F63" s="3">
        <f>$F$21</f>
        <v>45480.799157894748</v>
      </c>
      <c r="G63" s="3">
        <f>$G$21</f>
        <v>10480.799157894755</v>
      </c>
      <c r="H63" s="3">
        <f>$H$21</f>
        <v>45480.799157894748</v>
      </c>
      <c r="I63" s="3">
        <f>$I$21</f>
        <v>45480.799157894748</v>
      </c>
      <c r="J63" s="3">
        <f>$J$21</f>
        <v>45480.799157894748</v>
      </c>
      <c r="K63" s="3">
        <f>$K$21</f>
        <v>45480.799157894748</v>
      </c>
      <c r="L63" s="3">
        <f>$L$21</f>
        <v>45480.799157894748</v>
      </c>
    </row>
    <row r="64" spans="1:12">
      <c r="A64" s="4" t="s">
        <v>25</v>
      </c>
      <c r="B64" s="4">
        <f>IFERROR(IRR(B63:L63),NA())</f>
        <v>1.6374151015849869</v>
      </c>
    </row>
    <row r="66" spans="1:12">
      <c r="A66" t="s">
        <v>41</v>
      </c>
      <c r="B66" s="4">
        <v>0.5</v>
      </c>
    </row>
    <row r="67" spans="1:12">
      <c r="A67" t="s">
        <v>61</v>
      </c>
      <c r="B67" s="3">
        <f>$B$12*(1-B66)</f>
        <v>25000</v>
      </c>
    </row>
    <row r="68" spans="1:12">
      <c r="A68" s="4" t="s">
        <v>62</v>
      </c>
      <c r="B68" s="3">
        <f>-B67</f>
        <v>-25000</v>
      </c>
      <c r="C68" s="3">
        <f>$C$21</f>
        <v>45480.799157894748</v>
      </c>
      <c r="D68" s="3">
        <f>$D$21</f>
        <v>45480.799157894748</v>
      </c>
      <c r="E68" s="3">
        <f>$E$21</f>
        <v>45480.799157894748</v>
      </c>
      <c r="F68" s="3">
        <f>$F$21</f>
        <v>45480.799157894748</v>
      </c>
      <c r="G68" s="3">
        <f>$G$21</f>
        <v>10480.799157894755</v>
      </c>
      <c r="H68" s="3">
        <f>$H$21</f>
        <v>45480.799157894748</v>
      </c>
      <c r="I68" s="3">
        <f>$I$21</f>
        <v>45480.799157894748</v>
      </c>
      <c r="J68" s="3">
        <f>$J$21</f>
        <v>45480.799157894748</v>
      </c>
      <c r="K68" s="3">
        <f>$K$21</f>
        <v>45480.799157894748</v>
      </c>
      <c r="L68" s="3">
        <f>$L$21</f>
        <v>45480.799157894748</v>
      </c>
    </row>
    <row r="69" spans="1:12">
      <c r="A69" s="4" t="s">
        <v>25</v>
      </c>
      <c r="B69" s="4">
        <f>IFERROR(IRR(B68:L68),NA())</f>
        <v>1.8046119996666721</v>
      </c>
    </row>
    <row r="71" spans="1:12">
      <c r="A71" t="s">
        <v>41</v>
      </c>
      <c r="B71" s="4">
        <v>0.55000000000000004</v>
      </c>
    </row>
    <row r="72" spans="1:12">
      <c r="A72" t="s">
        <v>61</v>
      </c>
      <c r="B72" s="3">
        <f>$B$12*(1-B71)</f>
        <v>22499.999999999996</v>
      </c>
    </row>
    <row r="73" spans="1:12">
      <c r="A73" s="4" t="s">
        <v>62</v>
      </c>
      <c r="B73" s="3">
        <f>-B72</f>
        <v>-22499.999999999996</v>
      </c>
      <c r="C73" s="3">
        <f>$C$21</f>
        <v>45480.799157894748</v>
      </c>
      <c r="D73" s="3">
        <f>$D$21</f>
        <v>45480.799157894748</v>
      </c>
      <c r="E73" s="3">
        <f>$E$21</f>
        <v>45480.799157894748</v>
      </c>
      <c r="F73" s="3">
        <f>$F$21</f>
        <v>45480.799157894748</v>
      </c>
      <c r="G73" s="3">
        <f>$G$21</f>
        <v>10480.799157894755</v>
      </c>
      <c r="H73" s="3">
        <f>$H$21</f>
        <v>45480.799157894748</v>
      </c>
      <c r="I73" s="3">
        <f>$I$21</f>
        <v>45480.799157894748</v>
      </c>
      <c r="J73" s="3">
        <f>$J$21</f>
        <v>45480.799157894748</v>
      </c>
      <c r="K73" s="3">
        <f>$K$21</f>
        <v>45480.799157894748</v>
      </c>
      <c r="L73" s="3">
        <f>$L$21</f>
        <v>45480.799157894748</v>
      </c>
    </row>
    <row r="74" spans="1:12">
      <c r="A74" s="4" t="s">
        <v>25</v>
      </c>
      <c r="B74" s="4">
        <f>IFERROR(IRR(B73:L73),NA())</f>
        <v>2.0086612400386366</v>
      </c>
    </row>
    <row r="76" spans="1:12">
      <c r="A76" t="s">
        <v>41</v>
      </c>
      <c r="B76" s="4">
        <v>0.6</v>
      </c>
    </row>
    <row r="77" spans="1:12">
      <c r="A77" t="s">
        <v>61</v>
      </c>
      <c r="B77" s="3">
        <f>$B$12*(1-B76)</f>
        <v>20000</v>
      </c>
    </row>
    <row r="78" spans="1:12">
      <c r="A78" s="4" t="s">
        <v>62</v>
      </c>
      <c r="B78" s="3">
        <f>-B77</f>
        <v>-20000</v>
      </c>
      <c r="C78" s="3">
        <f>$C$21</f>
        <v>45480.799157894748</v>
      </c>
      <c r="D78" s="3">
        <f>$D$21</f>
        <v>45480.799157894748</v>
      </c>
      <c r="E78" s="3">
        <f>$E$21</f>
        <v>45480.799157894748</v>
      </c>
      <c r="F78" s="3">
        <f>$F$21</f>
        <v>45480.799157894748</v>
      </c>
      <c r="G78" s="3">
        <f>$G$21</f>
        <v>10480.799157894755</v>
      </c>
      <c r="H78" s="3">
        <f>$H$21</f>
        <v>45480.799157894748</v>
      </c>
      <c r="I78" s="3">
        <f>$I$21</f>
        <v>45480.799157894748</v>
      </c>
      <c r="J78" s="3">
        <f>$J$21</f>
        <v>45480.799157894748</v>
      </c>
      <c r="K78" s="3">
        <f>$K$21</f>
        <v>45480.799157894748</v>
      </c>
      <c r="L78" s="3">
        <f>$L$21</f>
        <v>45480.799157894748</v>
      </c>
    </row>
    <row r="79" spans="1:12">
      <c r="A79" s="4" t="s">
        <v>25</v>
      </c>
      <c r="B79" s="4">
        <f>IFERROR(IRR(B78:L78),NA())</f>
        <v>2.2633208529839681</v>
      </c>
    </row>
    <row r="81" spans="1:12">
      <c r="A81" t="s">
        <v>41</v>
      </c>
      <c r="B81" s="4">
        <v>0.65</v>
      </c>
    </row>
    <row r="82" spans="1:12">
      <c r="A82" t="s">
        <v>61</v>
      </c>
      <c r="B82" s="3">
        <f>$B$12*(1-B81)</f>
        <v>17500</v>
      </c>
    </row>
    <row r="83" spans="1:12">
      <c r="A83" s="4" t="s">
        <v>62</v>
      </c>
      <c r="B83" s="3">
        <f>-B82</f>
        <v>-17500</v>
      </c>
      <c r="C83" s="3">
        <f>$C$21</f>
        <v>45480.799157894748</v>
      </c>
      <c r="D83" s="3">
        <f>$D$21</f>
        <v>45480.799157894748</v>
      </c>
      <c r="E83" s="3">
        <f>$E$21</f>
        <v>45480.799157894748</v>
      </c>
      <c r="F83" s="3">
        <f>$F$21</f>
        <v>45480.799157894748</v>
      </c>
      <c r="G83" s="3">
        <f>$G$21</f>
        <v>10480.799157894755</v>
      </c>
      <c r="H83" s="3">
        <f>$H$21</f>
        <v>45480.799157894748</v>
      </c>
      <c r="I83" s="3">
        <f>$I$21</f>
        <v>45480.799157894748</v>
      </c>
      <c r="J83" s="3">
        <f>$J$21</f>
        <v>45480.799157894748</v>
      </c>
      <c r="K83" s="3">
        <f>$K$21</f>
        <v>45480.799157894748</v>
      </c>
      <c r="L83" s="3">
        <f>$L$21</f>
        <v>45480.799157894748</v>
      </c>
    </row>
    <row r="84" spans="1:12">
      <c r="A84" s="4" t="s">
        <v>25</v>
      </c>
      <c r="B84" s="4">
        <f>IFERROR(IRR(B83:L83),NA())</f>
        <v>2.5902105919362457</v>
      </c>
    </row>
    <row r="86" spans="1:12">
      <c r="A86" t="s">
        <v>41</v>
      </c>
      <c r="B86" s="4">
        <v>0.7</v>
      </c>
    </row>
    <row r="87" spans="1:12">
      <c r="A87" t="s">
        <v>61</v>
      </c>
      <c r="B87" s="3">
        <f>$B$12*(1-B86)</f>
        <v>15000.000000000002</v>
      </c>
    </row>
    <row r="88" spans="1:12">
      <c r="A88" s="4" t="s">
        <v>62</v>
      </c>
      <c r="B88" s="3">
        <f>-B87</f>
        <v>-15000.000000000002</v>
      </c>
      <c r="C88" s="3">
        <f>$C$21</f>
        <v>45480.799157894748</v>
      </c>
      <c r="D88" s="3">
        <f>$D$21</f>
        <v>45480.799157894748</v>
      </c>
      <c r="E88" s="3">
        <f>$E$21</f>
        <v>45480.799157894748</v>
      </c>
      <c r="F88" s="3">
        <f>$F$21</f>
        <v>45480.799157894748</v>
      </c>
      <c r="G88" s="3">
        <f>$G$21</f>
        <v>10480.799157894755</v>
      </c>
      <c r="H88" s="3">
        <f>$H$21</f>
        <v>45480.799157894748</v>
      </c>
      <c r="I88" s="3">
        <f>$I$21</f>
        <v>45480.799157894748</v>
      </c>
      <c r="J88" s="3">
        <f>$J$21</f>
        <v>45480.799157894748</v>
      </c>
      <c r="K88" s="3">
        <f>$K$21</f>
        <v>45480.799157894748</v>
      </c>
      <c r="L88" s="3">
        <f>$L$21</f>
        <v>45480.799157894748</v>
      </c>
    </row>
    <row r="89" spans="1:12">
      <c r="A89" s="4" t="s">
        <v>25</v>
      </c>
      <c r="B89" s="4">
        <f>IFERROR(IRR(B88:L88),NA())</f>
        <v>3.0253713431841902</v>
      </c>
    </row>
    <row r="91" spans="1:12">
      <c r="A91" t="s">
        <v>41</v>
      </c>
      <c r="B91" s="4">
        <v>0.75</v>
      </c>
    </row>
    <row r="92" spans="1:12">
      <c r="A92" t="s">
        <v>61</v>
      </c>
      <c r="B92" s="3">
        <f>$B$12*(1-B91)</f>
        <v>12500</v>
      </c>
    </row>
    <row r="93" spans="1:12">
      <c r="A93" s="4" t="s">
        <v>62</v>
      </c>
      <c r="B93" s="3">
        <f>-B92</f>
        <v>-12500</v>
      </c>
      <c r="C93" s="3">
        <f>$C$21</f>
        <v>45480.799157894748</v>
      </c>
      <c r="D93" s="3">
        <f>$D$21</f>
        <v>45480.799157894748</v>
      </c>
      <c r="E93" s="3">
        <f>$E$21</f>
        <v>45480.799157894748</v>
      </c>
      <c r="F93" s="3">
        <f>$F$21</f>
        <v>45480.799157894748</v>
      </c>
      <c r="G93" s="3">
        <f>$G$21</f>
        <v>10480.799157894755</v>
      </c>
      <c r="H93" s="3">
        <f>$H$21</f>
        <v>45480.799157894748</v>
      </c>
      <c r="I93" s="3">
        <f>$I$21</f>
        <v>45480.799157894748</v>
      </c>
      <c r="J93" s="3">
        <f>$J$21</f>
        <v>45480.799157894748</v>
      </c>
      <c r="K93" s="3">
        <f>$K$21</f>
        <v>45480.799157894748</v>
      </c>
      <c r="L93" s="3">
        <f>$L$21</f>
        <v>45480.799157894748</v>
      </c>
    </row>
    <row r="94" spans="1:12">
      <c r="A94" s="4" t="s">
        <v>25</v>
      </c>
      <c r="B94" s="4">
        <f>IFERROR(IRR(B93:L93),NA())</f>
        <v>3.6337002794386954</v>
      </c>
    </row>
    <row r="96" spans="1:12">
      <c r="A96" t="s">
        <v>41</v>
      </c>
      <c r="B96" s="4">
        <v>0.8</v>
      </c>
    </row>
    <row r="97" spans="1:12">
      <c r="A97" t="s">
        <v>61</v>
      </c>
      <c r="B97" s="3">
        <f>$B$12*(1-B96)</f>
        <v>9999.9999999999982</v>
      </c>
    </row>
    <row r="98" spans="1:12">
      <c r="A98" s="4" t="s">
        <v>62</v>
      </c>
      <c r="B98" s="3">
        <f>-B97</f>
        <v>-9999.9999999999982</v>
      </c>
      <c r="C98" s="3">
        <f>$C$21</f>
        <v>45480.799157894748</v>
      </c>
      <c r="D98" s="3">
        <f>$D$21</f>
        <v>45480.799157894748</v>
      </c>
      <c r="E98" s="3">
        <f>$E$21</f>
        <v>45480.799157894748</v>
      </c>
      <c r="F98" s="3">
        <f>$F$21</f>
        <v>45480.799157894748</v>
      </c>
      <c r="G98" s="3">
        <f>$G$21</f>
        <v>10480.799157894755</v>
      </c>
      <c r="H98" s="3">
        <f>$H$21</f>
        <v>45480.799157894748</v>
      </c>
      <c r="I98" s="3">
        <f>$I$21</f>
        <v>45480.799157894748</v>
      </c>
      <c r="J98" s="3">
        <f>$J$21</f>
        <v>45480.799157894748</v>
      </c>
      <c r="K98" s="3">
        <f>$K$21</f>
        <v>45480.799157894748</v>
      </c>
      <c r="L98" s="3">
        <f>$L$21</f>
        <v>45480.799157894748</v>
      </c>
    </row>
    <row r="99" spans="1:12">
      <c r="A99" s="4" t="s">
        <v>25</v>
      </c>
      <c r="B99" s="4">
        <f>IFERROR(IRR(B98:L98),NA())</f>
        <v>4.5450452948197544</v>
      </c>
    </row>
    <row r="101" spans="1:12">
      <c r="A101" t="s">
        <v>41</v>
      </c>
      <c r="B101" s="4">
        <v>0.85</v>
      </c>
    </row>
    <row r="102" spans="1:12">
      <c r="A102" t="s">
        <v>61</v>
      </c>
      <c r="B102" s="3">
        <f>$B$12*(1-B101)</f>
        <v>7500.0000000000009</v>
      </c>
    </row>
    <row r="103" spans="1:12">
      <c r="A103" s="4" t="s">
        <v>62</v>
      </c>
      <c r="B103" s="3">
        <f>-B102</f>
        <v>-7500.0000000000009</v>
      </c>
      <c r="C103" s="3">
        <f>$C$21</f>
        <v>45480.799157894748</v>
      </c>
      <c r="D103" s="3">
        <f>$D$21</f>
        <v>45480.799157894748</v>
      </c>
      <c r="E103" s="3">
        <f>$E$21</f>
        <v>45480.799157894748</v>
      </c>
      <c r="F103" s="3">
        <f>$F$21</f>
        <v>45480.799157894748</v>
      </c>
      <c r="G103" s="3">
        <f>$G$21</f>
        <v>10480.799157894755</v>
      </c>
      <c r="H103" s="3">
        <f>$H$21</f>
        <v>45480.799157894748</v>
      </c>
      <c r="I103" s="3">
        <f>$I$21</f>
        <v>45480.799157894748</v>
      </c>
      <c r="J103" s="3">
        <f>$J$21</f>
        <v>45480.799157894748</v>
      </c>
      <c r="K103" s="3">
        <f>$K$21</f>
        <v>45480.799157894748</v>
      </c>
      <c r="L103" s="3">
        <f>$L$21</f>
        <v>45480.799157894748</v>
      </c>
    </row>
    <row r="104" spans="1:12">
      <c r="A104" s="4" t="s">
        <v>25</v>
      </c>
      <c r="B104" s="4">
        <f>IFERROR(IRR(B103:L103),NA())</f>
        <v>6.0624963819804378</v>
      </c>
    </row>
    <row r="106" spans="1:12">
      <c r="A106" t="s">
        <v>41</v>
      </c>
      <c r="B106" s="4">
        <v>0.9</v>
      </c>
    </row>
    <row r="107" spans="1:12">
      <c r="A107" t="s">
        <v>61</v>
      </c>
      <c r="B107" s="3">
        <f>$B$12*(1-B106)</f>
        <v>4999.9999999999991</v>
      </c>
    </row>
    <row r="108" spans="1:12">
      <c r="A108" s="4" t="s">
        <v>62</v>
      </c>
      <c r="B108" s="3">
        <f>-B107</f>
        <v>-4999.9999999999991</v>
      </c>
      <c r="C108" s="3">
        <f>$C$21</f>
        <v>45480.799157894748</v>
      </c>
      <c r="D108" s="3">
        <f>$D$21</f>
        <v>45480.799157894748</v>
      </c>
      <c r="E108" s="3">
        <f>$E$21</f>
        <v>45480.799157894748</v>
      </c>
      <c r="F108" s="3">
        <f>$F$21</f>
        <v>45480.799157894748</v>
      </c>
      <c r="G108" s="3">
        <f>$G$21</f>
        <v>10480.799157894755</v>
      </c>
      <c r="H108" s="3">
        <f>$H$21</f>
        <v>45480.799157894748</v>
      </c>
      <c r="I108" s="3">
        <f>$I$21</f>
        <v>45480.799157894748</v>
      </c>
      <c r="J108" s="3">
        <f>$J$21</f>
        <v>45480.799157894748</v>
      </c>
      <c r="K108" s="3">
        <f>$K$21</f>
        <v>45480.799157894748</v>
      </c>
      <c r="L108" s="3">
        <f>$L$21</f>
        <v>45480.799157894748</v>
      </c>
    </row>
    <row r="109" spans="1:12">
      <c r="A109" s="4" t="s">
        <v>25</v>
      </c>
      <c r="B109" s="4">
        <f>IFERROR(IRR(B108:L108),NA())</f>
        <v>9.0955527078220406</v>
      </c>
    </row>
    <row r="111" spans="1:12">
      <c r="A111" t="s">
        <v>41</v>
      </c>
      <c r="B111" s="4">
        <v>0.95</v>
      </c>
    </row>
    <row r="112" spans="1:12">
      <c r="A112" t="s">
        <v>61</v>
      </c>
      <c r="B112" s="3">
        <f>$B$12*(1-B111)</f>
        <v>2500.0000000000023</v>
      </c>
    </row>
    <row r="113" spans="1:20">
      <c r="A113" s="4" t="s">
        <v>62</v>
      </c>
      <c r="B113" s="3">
        <f>-B112</f>
        <v>-2500.0000000000023</v>
      </c>
      <c r="C113" s="3">
        <f>$C$21</f>
        <v>45480.799157894748</v>
      </c>
      <c r="D113" s="3">
        <f>$D$21</f>
        <v>45480.799157894748</v>
      </c>
      <c r="E113" s="3">
        <f>$E$21</f>
        <v>45480.799157894748</v>
      </c>
      <c r="F113" s="3">
        <f>$F$21</f>
        <v>45480.799157894748</v>
      </c>
      <c r="G113" s="3">
        <f>$G$21</f>
        <v>10480.799157894755</v>
      </c>
      <c r="H113" s="3">
        <f>$H$21</f>
        <v>45480.799157894748</v>
      </c>
      <c r="I113" s="3">
        <f>$I$21</f>
        <v>45480.799157894748</v>
      </c>
      <c r="J113" s="3">
        <f>$J$21</f>
        <v>45480.799157894748</v>
      </c>
      <c r="K113" s="3">
        <f>$K$21</f>
        <v>45480.799157894748</v>
      </c>
      <c r="L113" s="3">
        <f>$L$21</f>
        <v>45480.799157894748</v>
      </c>
    </row>
    <row r="114" spans="1:20">
      <c r="A114" s="4" t="s">
        <v>25</v>
      </c>
      <c r="B114" s="4">
        <f>IFERROR(IRR(B113:L113),NA())</f>
        <v>18.192221852098598</v>
      </c>
    </row>
    <row r="116" spans="1:20">
      <c r="A116" t="s">
        <v>41</v>
      </c>
      <c r="B116" s="4">
        <v>1</v>
      </c>
    </row>
    <row r="117" spans="1:20">
      <c r="A117" t="s">
        <v>61</v>
      </c>
      <c r="B117" s="3">
        <f>$B$12*(1-B116)</f>
        <v>0</v>
      </c>
    </row>
    <row r="118" spans="1:20">
      <c r="A118" s="4" t="s">
        <v>62</v>
      </c>
      <c r="B118" s="3">
        <f>-B117</f>
        <v>0</v>
      </c>
      <c r="C118" s="3">
        <f>$C$21</f>
        <v>45480.799157894748</v>
      </c>
      <c r="D118" s="3">
        <f>$D$21</f>
        <v>45480.799157894748</v>
      </c>
      <c r="E118" s="3">
        <f>$E$21</f>
        <v>45480.799157894748</v>
      </c>
      <c r="F118" s="3">
        <f>$F$21</f>
        <v>45480.799157894748</v>
      </c>
      <c r="G118" s="3">
        <f>$G$21</f>
        <v>10480.799157894755</v>
      </c>
      <c r="H118" s="3">
        <f>$H$21</f>
        <v>45480.799157894748</v>
      </c>
      <c r="I118" s="3">
        <f>$I$21</f>
        <v>45480.799157894748</v>
      </c>
      <c r="J118" s="3">
        <f>$J$21</f>
        <v>45480.799157894748</v>
      </c>
      <c r="K118" s="3">
        <f>$K$21</f>
        <v>45480.799157894748</v>
      </c>
      <c r="L118" s="3">
        <f>$L$21</f>
        <v>45480.799157894748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63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>
        <f>B29</f>
        <v>0.98475026239930985</v>
      </c>
      <c r="C124" s="4">
        <f>B34</f>
        <v>1.0452479216676682</v>
      </c>
      <c r="D124" s="4">
        <f>B39</f>
        <v>1.1132680588844646</v>
      </c>
      <c r="E124" s="4">
        <f>B44</f>
        <v>1.1903060987163241</v>
      </c>
      <c r="F124" s="4">
        <f>B49</f>
        <v>1.2782812839841262</v>
      </c>
      <c r="G124" s="4">
        <f>B54</f>
        <v>1.3796992443467526</v>
      </c>
      <c r="H124" s="4">
        <f>B59</f>
        <v>1.497895970580545</v>
      </c>
      <c r="I124" s="4">
        <f>B64</f>
        <v>1.6374151015849869</v>
      </c>
      <c r="J124" s="4">
        <f>B69</f>
        <v>1.8046119996666721</v>
      </c>
      <c r="K124" s="4">
        <f>B74</f>
        <v>2.0086612400386366</v>
      </c>
      <c r="L124" s="4">
        <f>B79</f>
        <v>2.2633208529839681</v>
      </c>
      <c r="M124" s="4">
        <f>B84</f>
        <v>2.5902105919362457</v>
      </c>
      <c r="N124" s="4">
        <f>B89</f>
        <v>3.0253713431841902</v>
      </c>
      <c r="O124" s="4">
        <f>B94</f>
        <v>3.6337002794386954</v>
      </c>
      <c r="P124" s="4">
        <f>B99</f>
        <v>4.5450452948197544</v>
      </c>
      <c r="Q124" s="4">
        <f>B104</f>
        <v>6.0624963819804378</v>
      </c>
      <c r="R124" s="4">
        <f>B109</f>
        <v>9.0955527078220406</v>
      </c>
      <c r="S124" s="4">
        <f>B114</f>
        <v>18.192221852098598</v>
      </c>
      <c r="T124" s="4" t="e">
        <f>B119</f>
        <v>#N/A</v>
      </c>
    </row>
    <row r="125" spans="1:20">
      <c r="A125" t="s">
        <v>64</v>
      </c>
      <c r="B125" s="4" t="e">
        <f>LOOKUP('IRR inputs &amp; outputs'!B18, B124:P124, B123:P123)</f>
        <v>#N/A</v>
      </c>
    </row>
    <row r="126" spans="1:20">
      <c r="A126" t="s">
        <v>65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0C7F0-1804-4E47-8790-DE92EA647BB9}">
  <dimension ref="A1:T126"/>
  <sheetViews>
    <sheetView workbookViewId="0">
      <selection activeCell="A17" sqref="A17:L18"/>
    </sheetView>
  </sheetViews>
  <sheetFormatPr defaultRowHeight="14.25"/>
  <cols>
    <col min="1" max="1" width="14.7109375" bestFit="1" customWidth="1"/>
  </cols>
  <sheetData>
    <row r="1" spans="1:15">
      <c r="A1" s="1" t="s">
        <v>24</v>
      </c>
      <c r="B1" s="5">
        <v>0.45</v>
      </c>
    </row>
    <row r="2" spans="1:15">
      <c r="A2" t="s">
        <v>44</v>
      </c>
      <c r="B2">
        <f>24*365</f>
        <v>8760</v>
      </c>
    </row>
    <row r="3" spans="1:15">
      <c r="A3" t="s">
        <v>45</v>
      </c>
      <c r="B3">
        <f>B2*B1*'IRR inputs &amp; outputs'!B2*'IRR inputs &amp; outputs'!B3*'IRR inputs &amp; outputs'!$B$7</f>
        <v>195523.20000000001</v>
      </c>
      <c r="C3" t="s">
        <v>46</v>
      </c>
    </row>
    <row r="5" spans="1:15">
      <c r="A5" s="1" t="s">
        <v>47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48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49</v>
      </c>
      <c r="B7" s="2"/>
      <c r="C7" s="2">
        <f>$B$3*'IRR inputs &amp; outputs'!$B$13</f>
        <v>107537.76000000001</v>
      </c>
      <c r="D7" s="2">
        <f>$B$3*'IRR inputs &amp; outputs'!$B$13</f>
        <v>107537.76000000001</v>
      </c>
      <c r="E7" s="2">
        <f>$B$3*'IRR inputs &amp; outputs'!$B$13</f>
        <v>107537.76000000001</v>
      </c>
      <c r="F7" s="2">
        <f>$B$3*'IRR inputs &amp; outputs'!$B$13</f>
        <v>107537.76000000001</v>
      </c>
      <c r="G7" s="2">
        <f>$B$3*'IRR inputs &amp; outputs'!$B$13</f>
        <v>107537.76000000001</v>
      </c>
      <c r="H7" s="2">
        <f>$B$3*'IRR inputs &amp; outputs'!$B$13</f>
        <v>107537.76000000001</v>
      </c>
      <c r="I7" s="2">
        <f>$B$3*'IRR inputs &amp; outputs'!$B$13</f>
        <v>107537.76000000001</v>
      </c>
      <c r="J7" s="2">
        <f>$B$3*'IRR inputs &amp; outputs'!$B$13</f>
        <v>107537.76000000001</v>
      </c>
      <c r="K7" s="2">
        <f>$B$3*'IRR inputs &amp; outputs'!$B$13</f>
        <v>107537.76000000001</v>
      </c>
      <c r="L7" s="2">
        <f>$B$3*'IRR inputs &amp; outputs'!$B$13</f>
        <v>107537.76000000001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50</v>
      </c>
      <c r="B9" s="2"/>
      <c r="C9" s="2">
        <f t="shared" ref="C9:L9" si="0">SUM(C7:C8)</f>
        <v>107537.76000000001</v>
      </c>
      <c r="D9" s="2">
        <f t="shared" si="0"/>
        <v>107537.76000000001</v>
      </c>
      <c r="E9" s="2">
        <f t="shared" si="0"/>
        <v>107537.76000000001</v>
      </c>
      <c r="F9" s="2">
        <f t="shared" si="0"/>
        <v>107537.76000000001</v>
      </c>
      <c r="G9" s="2">
        <f t="shared" si="0"/>
        <v>107537.76000000001</v>
      </c>
      <c r="H9" s="2">
        <f t="shared" si="0"/>
        <v>107537.76000000001</v>
      </c>
      <c r="I9" s="2">
        <f t="shared" si="0"/>
        <v>107537.76000000001</v>
      </c>
      <c r="J9" s="2">
        <f t="shared" si="0"/>
        <v>107537.76000000001</v>
      </c>
      <c r="K9" s="2">
        <f t="shared" si="0"/>
        <v>107537.76000000001</v>
      </c>
      <c r="L9" s="2">
        <f t="shared" si="0"/>
        <v>107537.76000000001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51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50000</v>
      </c>
      <c r="C12" s="2"/>
      <c r="D12" s="2"/>
      <c r="E12" s="2"/>
      <c r="F12" s="2"/>
      <c r="G12" s="2">
        <f>'IRR inputs &amp; outputs'!B15</f>
        <v>35000</v>
      </c>
      <c r="H12" s="2"/>
      <c r="I12" s="2"/>
      <c r="J12" s="2"/>
      <c r="K12" s="2"/>
      <c r="L12" s="2"/>
    </row>
    <row r="13" spans="1:15">
      <c r="A13" t="s">
        <v>52</v>
      </c>
      <c r="B13" s="2">
        <f>'IRR inputs &amp; outputs'!B16</f>
        <v>1000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53</v>
      </c>
      <c r="B14" s="2"/>
      <c r="C14" s="2">
        <f>'IRR inputs &amp; outputs'!$B$17</f>
        <v>5000</v>
      </c>
      <c r="D14" s="2">
        <f>'IRR inputs &amp; outputs'!$B$17</f>
        <v>5000</v>
      </c>
      <c r="E14" s="2">
        <f>'IRR inputs &amp; outputs'!$B$17</f>
        <v>5000</v>
      </c>
      <c r="F14" s="2">
        <f>'IRR inputs &amp; outputs'!$B$17</f>
        <v>5000</v>
      </c>
      <c r="G14" s="2">
        <f>'IRR inputs &amp; outputs'!$B$17</f>
        <v>5000</v>
      </c>
      <c r="H14" s="2">
        <f>'IRR inputs &amp; outputs'!$B$17</f>
        <v>5000</v>
      </c>
      <c r="I14" s="2">
        <f>'IRR inputs &amp; outputs'!$B$17</f>
        <v>5000</v>
      </c>
      <c r="J14" s="2">
        <f>'IRR inputs &amp; outputs'!$B$17</f>
        <v>5000</v>
      </c>
      <c r="K14" s="2">
        <f>'IRR inputs &amp; outputs'!$B$17</f>
        <v>5000</v>
      </c>
      <c r="L14" s="2">
        <f>'IRR inputs &amp; outputs'!$B$17</f>
        <v>5000</v>
      </c>
    </row>
    <row r="15" spans="1:15">
      <c r="A15" t="s">
        <v>54</v>
      </c>
      <c r="B15" s="2"/>
      <c r="C15" s="2">
        <f>'IRR inputs &amp; outputs'!B14</f>
        <v>750</v>
      </c>
      <c r="D15" s="2">
        <f>'IRR inputs &amp; outputs'!B14</f>
        <v>750</v>
      </c>
      <c r="E15" s="2">
        <f>'IRR inputs &amp; outputs'!B14</f>
        <v>750</v>
      </c>
      <c r="F15" s="2">
        <f>'IRR inputs &amp; outputs'!B14</f>
        <v>750</v>
      </c>
      <c r="G15" s="2">
        <f>'IRR inputs &amp; outputs'!B14</f>
        <v>750</v>
      </c>
      <c r="H15" s="2">
        <f>'IRR inputs &amp; outputs'!B14</f>
        <v>750</v>
      </c>
      <c r="I15" s="2">
        <f>'IRR inputs &amp; outputs'!B14</f>
        <v>750</v>
      </c>
      <c r="J15" s="2">
        <f>'IRR inputs &amp; outputs'!B14</f>
        <v>750</v>
      </c>
      <c r="K15" s="2">
        <f>'IRR inputs &amp; outputs'!B14</f>
        <v>750</v>
      </c>
      <c r="L15" s="2">
        <f>'IRR inputs &amp; outputs'!B14</f>
        <v>750</v>
      </c>
    </row>
    <row r="16" spans="1:15">
      <c r="A16" t="s">
        <v>55</v>
      </c>
      <c r="B16" s="2"/>
      <c r="C16" s="2">
        <f>(1/'IRR inputs &amp; outputs'!$B$8)*$B$3*'IRR inputs &amp; outputs'!$B$9+'IRR inputs &amp; outputs'!$B$10</f>
        <v>41162.778947368424</v>
      </c>
      <c r="D16" s="2">
        <f>(1/'IRR inputs &amp; outputs'!$B$8)*$B$3*'IRR inputs &amp; outputs'!$B$9+'IRR inputs &amp; outputs'!$B$10</f>
        <v>41162.778947368424</v>
      </c>
      <c r="E16" s="2">
        <f>(1/'IRR inputs &amp; outputs'!$B$8)*$B$3*'IRR inputs &amp; outputs'!$B$9+'IRR inputs &amp; outputs'!$B$10</f>
        <v>41162.778947368424</v>
      </c>
      <c r="F16" s="2">
        <f>(1/'IRR inputs &amp; outputs'!$B$8)*$B$3*'IRR inputs &amp; outputs'!$B$9+'IRR inputs &amp; outputs'!$B$10</f>
        <v>41162.778947368424</v>
      </c>
      <c r="G16" s="2">
        <f>(1/'IRR inputs &amp; outputs'!$B$8)*$B$3*'IRR inputs &amp; outputs'!$B$9+'IRR inputs &amp; outputs'!$B$10</f>
        <v>41162.778947368424</v>
      </c>
      <c r="H16" s="2">
        <f>(1/'IRR inputs &amp; outputs'!$B$8)*$B$3*'IRR inputs &amp; outputs'!$B$9+'IRR inputs &amp; outputs'!$B$10</f>
        <v>41162.778947368424</v>
      </c>
      <c r="I16" s="2">
        <f>(1/'IRR inputs &amp; outputs'!$B$8)*$B$3*'IRR inputs &amp; outputs'!$B$9+'IRR inputs &amp; outputs'!$B$10</f>
        <v>41162.778947368424</v>
      </c>
      <c r="J16" s="2">
        <f>(1/'IRR inputs &amp; outputs'!$B$8)*$B$3*'IRR inputs &amp; outputs'!$B$9+'IRR inputs &amp; outputs'!$B$10</f>
        <v>41162.778947368424</v>
      </c>
      <c r="K16" s="2">
        <f>(1/'IRR inputs &amp; outputs'!$B$8)*$B$3*'IRR inputs &amp; outputs'!$B$9+'IRR inputs &amp; outputs'!$B$10</f>
        <v>41162.778947368424</v>
      </c>
      <c r="L16" s="2">
        <f>(1/'IRR inputs &amp; outputs'!$B$8)*$B$3*'IRR inputs &amp; outputs'!$B$9+'IRR inputs &amp; outputs'!$B$10</f>
        <v>41162.778947368424</v>
      </c>
    </row>
    <row r="17" spans="1:12">
      <c r="A17" t="s">
        <v>56</v>
      </c>
      <c r="B17" s="2"/>
      <c r="C17" s="46">
        <f>'IRR inputs &amp; outputs'!$B$12</f>
        <v>600</v>
      </c>
      <c r="D17" s="2">
        <f>'IRR inputs &amp; outputs'!$B$12</f>
        <v>600</v>
      </c>
      <c r="E17" s="2">
        <f>'IRR inputs &amp; outputs'!$B$12</f>
        <v>600</v>
      </c>
      <c r="F17" s="2">
        <f>'IRR inputs &amp; outputs'!$B$12</f>
        <v>600</v>
      </c>
      <c r="G17" s="2">
        <f>'IRR inputs &amp; outputs'!$B$12</f>
        <v>600</v>
      </c>
      <c r="H17" s="2">
        <f>'IRR inputs &amp; outputs'!$B$12</f>
        <v>600</v>
      </c>
      <c r="I17" s="2">
        <f>'IRR inputs &amp; outputs'!$B$12</f>
        <v>600</v>
      </c>
      <c r="J17" s="2">
        <f>'IRR inputs &amp; outputs'!$B$12</f>
        <v>600</v>
      </c>
      <c r="K17" s="2">
        <f>'IRR inputs &amp; outputs'!$B$12</f>
        <v>600</v>
      </c>
      <c r="L17" s="2">
        <f>'IRR inputs &amp; outputs'!$B$12</f>
        <v>600</v>
      </c>
    </row>
    <row r="18" spans="1:12">
      <c r="A18" t="s">
        <v>57</v>
      </c>
      <c r="B18" s="2"/>
      <c r="C18" s="2">
        <f>$B$3*'IRR inputs &amp; outputs'!$B$11*'IRR inputs &amp; outputs'!$B$13</f>
        <v>8065.3320000000003</v>
      </c>
      <c r="D18" s="2">
        <f>$B$3*'IRR inputs &amp; outputs'!$B$11*'IRR inputs &amp; outputs'!$B$13</f>
        <v>8065.3320000000003</v>
      </c>
      <c r="E18" s="2">
        <f>$B$3*'IRR inputs &amp; outputs'!$B$11*'IRR inputs &amp; outputs'!$B$13</f>
        <v>8065.3320000000003</v>
      </c>
      <c r="F18" s="2">
        <f>$B$3*'IRR inputs &amp; outputs'!$B$11*'IRR inputs &amp; outputs'!$B$13</f>
        <v>8065.3320000000003</v>
      </c>
      <c r="G18" s="2">
        <f>$B$3*'IRR inputs &amp; outputs'!$B$11*'IRR inputs &amp; outputs'!$B$13</f>
        <v>8065.3320000000003</v>
      </c>
      <c r="H18" s="2">
        <f>$B$3*'IRR inputs &amp; outputs'!$B$11*'IRR inputs &amp; outputs'!$B$13</f>
        <v>8065.3320000000003</v>
      </c>
      <c r="I18" s="2">
        <f>$B$3*'IRR inputs &amp; outputs'!$B$11*'IRR inputs &amp; outputs'!$B$13</f>
        <v>8065.3320000000003</v>
      </c>
      <c r="J18" s="2">
        <f>$B$3*'IRR inputs &amp; outputs'!$B$11*'IRR inputs &amp; outputs'!$B$13</f>
        <v>8065.3320000000003</v>
      </c>
      <c r="K18" s="2">
        <f>$B$3*'IRR inputs &amp; outputs'!$B$11*'IRR inputs &amp; outputs'!$B$13</f>
        <v>8065.3320000000003</v>
      </c>
      <c r="L18" s="2">
        <f>$B$3*'IRR inputs &amp; outputs'!$B$11*'IRR inputs &amp; outputs'!$B$13</f>
        <v>8065.3320000000003</v>
      </c>
    </row>
    <row r="19" spans="1:12">
      <c r="A19" t="s">
        <v>58</v>
      </c>
      <c r="B19" s="3">
        <f t="shared" ref="B19:L19" si="1">SUM(B12:B18)</f>
        <v>51000</v>
      </c>
      <c r="C19" s="3">
        <f t="shared" si="1"/>
        <v>55578.110947368426</v>
      </c>
      <c r="D19" s="3">
        <f t="shared" si="1"/>
        <v>55578.110947368426</v>
      </c>
      <c r="E19" s="3">
        <f t="shared" si="1"/>
        <v>55578.110947368426</v>
      </c>
      <c r="F19" s="3">
        <f t="shared" si="1"/>
        <v>55578.110947368426</v>
      </c>
      <c r="G19" s="3">
        <f t="shared" si="1"/>
        <v>90578.110947368419</v>
      </c>
      <c r="H19" s="3">
        <f t="shared" si="1"/>
        <v>55578.110947368426</v>
      </c>
      <c r="I19" s="3">
        <f t="shared" si="1"/>
        <v>55578.110947368426</v>
      </c>
      <c r="J19" s="3">
        <f t="shared" si="1"/>
        <v>55578.110947368426</v>
      </c>
      <c r="K19" s="3">
        <f t="shared" si="1"/>
        <v>55578.110947368426</v>
      </c>
      <c r="L19" s="3">
        <f t="shared" si="1"/>
        <v>55578.110947368426</v>
      </c>
    </row>
    <row r="21" spans="1:12">
      <c r="A21" t="s">
        <v>59</v>
      </c>
      <c r="B21" s="3">
        <f t="shared" ref="B21:L21" si="2">B9-B19</f>
        <v>-51000</v>
      </c>
      <c r="C21" s="3">
        <f t="shared" si="2"/>
        <v>51959.649052631583</v>
      </c>
      <c r="D21" s="3">
        <f t="shared" si="2"/>
        <v>51959.649052631583</v>
      </c>
      <c r="E21" s="3">
        <f t="shared" si="2"/>
        <v>51959.649052631583</v>
      </c>
      <c r="F21" s="3">
        <f t="shared" si="2"/>
        <v>51959.649052631583</v>
      </c>
      <c r="G21" s="3">
        <f t="shared" si="2"/>
        <v>16959.64905263159</v>
      </c>
      <c r="H21" s="3">
        <f t="shared" si="2"/>
        <v>51959.649052631583</v>
      </c>
      <c r="I21" s="3">
        <f t="shared" si="2"/>
        <v>51959.649052631583</v>
      </c>
      <c r="J21" s="3">
        <f t="shared" si="2"/>
        <v>51959.649052631583</v>
      </c>
      <c r="K21" s="3">
        <f t="shared" si="2"/>
        <v>51959.649052631583</v>
      </c>
      <c r="L21" s="3">
        <f t="shared" si="2"/>
        <v>51959.649052631583</v>
      </c>
    </row>
    <row r="23" spans="1:12">
      <c r="A23" t="s">
        <v>25</v>
      </c>
      <c r="B23" s="4">
        <f>IFERROR(IRR(B21:L21),NA())</f>
        <v>0.99623521710799134</v>
      </c>
    </row>
    <row r="25" spans="1:12">
      <c r="A25" s="1" t="s">
        <v>60</v>
      </c>
    </row>
    <row r="26" spans="1:12">
      <c r="A26" t="s">
        <v>41</v>
      </c>
      <c r="B26" s="4">
        <v>0.1</v>
      </c>
    </row>
    <row r="27" spans="1:12">
      <c r="A27" t="s">
        <v>61</v>
      </c>
      <c r="B27" s="3">
        <f>$B$12*(1-B26)</f>
        <v>45000</v>
      </c>
    </row>
    <row r="28" spans="1:12">
      <c r="A28" s="4" t="s">
        <v>62</v>
      </c>
      <c r="B28" s="3">
        <f>-B27</f>
        <v>-45000</v>
      </c>
      <c r="C28" s="3">
        <f>$C$21</f>
        <v>51959.649052631583</v>
      </c>
      <c r="D28" s="3">
        <f>$D$21</f>
        <v>51959.649052631583</v>
      </c>
      <c r="E28" s="3">
        <f>$E$21</f>
        <v>51959.649052631583</v>
      </c>
      <c r="F28" s="3">
        <f>$F$21</f>
        <v>51959.649052631583</v>
      </c>
      <c r="G28" s="3">
        <f>$G$21</f>
        <v>16959.64905263159</v>
      </c>
      <c r="H28" s="3">
        <f>$H$21</f>
        <v>51959.649052631583</v>
      </c>
      <c r="I28" s="3">
        <f>$I$21</f>
        <v>51959.649052631583</v>
      </c>
      <c r="J28" s="3">
        <f>$J$21</f>
        <v>51959.649052631583</v>
      </c>
      <c r="K28" s="3">
        <f>$K$21</f>
        <v>51959.649052631583</v>
      </c>
      <c r="L28" s="3">
        <f>$L$21</f>
        <v>51959.649052631583</v>
      </c>
    </row>
    <row r="29" spans="1:12">
      <c r="A29" s="4" t="s">
        <v>25</v>
      </c>
      <c r="B29" s="4">
        <f>IFERROR(IRR(B28:L28),NA())</f>
        <v>1.1341444323230014</v>
      </c>
    </row>
    <row r="30" spans="1:12">
      <c r="A30" s="4"/>
      <c r="B30" s="3"/>
    </row>
    <row r="31" spans="1:12">
      <c r="A31" t="s">
        <v>41</v>
      </c>
      <c r="B31" s="4">
        <v>0.15</v>
      </c>
    </row>
    <row r="32" spans="1:12">
      <c r="A32" t="s">
        <v>61</v>
      </c>
      <c r="B32" s="3">
        <f>$B$12*(1-B31)</f>
        <v>42500</v>
      </c>
    </row>
    <row r="33" spans="1:12">
      <c r="A33" s="4" t="s">
        <v>62</v>
      </c>
      <c r="B33" s="3">
        <f>-B32</f>
        <v>-42500</v>
      </c>
      <c r="C33" s="3">
        <f>$C$21</f>
        <v>51959.649052631583</v>
      </c>
      <c r="D33" s="3">
        <f>$D$21</f>
        <v>51959.649052631583</v>
      </c>
      <c r="E33" s="3">
        <f>$E$21</f>
        <v>51959.649052631583</v>
      </c>
      <c r="F33" s="3">
        <f>$F$21</f>
        <v>51959.649052631583</v>
      </c>
      <c r="G33" s="3">
        <f>$G$21</f>
        <v>16959.64905263159</v>
      </c>
      <c r="H33" s="3">
        <f>$H$21</f>
        <v>51959.649052631583</v>
      </c>
      <c r="I33" s="3">
        <f>$I$21</f>
        <v>51959.649052631583</v>
      </c>
      <c r="J33" s="3">
        <f>$J$21</f>
        <v>51959.649052631583</v>
      </c>
      <c r="K33" s="3">
        <f>$K$21</f>
        <v>51959.649052631583</v>
      </c>
      <c r="L33" s="3">
        <f>$L$21</f>
        <v>51959.649052631583</v>
      </c>
    </row>
    <row r="34" spans="1:12">
      <c r="A34" s="4" t="s">
        <v>25</v>
      </c>
      <c r="B34" s="4">
        <f>IFERROR(IRR(B33:L33),NA())</f>
        <v>1.2030339853934953</v>
      </c>
    </row>
    <row r="35" spans="1:12">
      <c r="A35" s="4"/>
      <c r="B35" s="3"/>
    </row>
    <row r="36" spans="1:12">
      <c r="A36" t="s">
        <v>41</v>
      </c>
      <c r="B36" s="4">
        <v>0.2</v>
      </c>
    </row>
    <row r="37" spans="1:12">
      <c r="A37" t="s">
        <v>61</v>
      </c>
      <c r="B37" s="3">
        <f>$B$12*(1-B36)</f>
        <v>40000</v>
      </c>
    </row>
    <row r="38" spans="1:12">
      <c r="A38" s="4" t="s">
        <v>62</v>
      </c>
      <c r="B38" s="3">
        <f>-B37</f>
        <v>-40000</v>
      </c>
      <c r="C38" s="3">
        <f>$C$21</f>
        <v>51959.649052631583</v>
      </c>
      <c r="D38" s="3">
        <f>$D$21</f>
        <v>51959.649052631583</v>
      </c>
      <c r="E38" s="3">
        <f>$E$21</f>
        <v>51959.649052631583</v>
      </c>
      <c r="F38" s="3">
        <f>$F$21</f>
        <v>51959.649052631583</v>
      </c>
      <c r="G38" s="3">
        <f>$G$21</f>
        <v>16959.64905263159</v>
      </c>
      <c r="H38" s="3">
        <f>$H$21</f>
        <v>51959.649052631583</v>
      </c>
      <c r="I38" s="3">
        <f>$I$21</f>
        <v>51959.649052631583</v>
      </c>
      <c r="J38" s="3">
        <f>$J$21</f>
        <v>51959.649052631583</v>
      </c>
      <c r="K38" s="3">
        <f>$K$21</f>
        <v>51959.649052631583</v>
      </c>
      <c r="L38" s="3">
        <f>$L$21</f>
        <v>51959.649052631583</v>
      </c>
    </row>
    <row r="39" spans="1:12">
      <c r="A39" s="4" t="s">
        <v>25</v>
      </c>
      <c r="B39" s="4">
        <f>IFERROR(IRR(B38:L38),NA())</f>
        <v>1.2804842895795709</v>
      </c>
    </row>
    <row r="41" spans="1:12">
      <c r="A41" t="s">
        <v>41</v>
      </c>
      <c r="B41" s="4">
        <v>0.25</v>
      </c>
    </row>
    <row r="42" spans="1:12">
      <c r="A42" t="s">
        <v>61</v>
      </c>
      <c r="B42" s="3">
        <f>$B$12*(1-B41)</f>
        <v>37500</v>
      </c>
    </row>
    <row r="43" spans="1:12">
      <c r="A43" s="4" t="s">
        <v>62</v>
      </c>
      <c r="B43" s="3">
        <f>-B42</f>
        <v>-37500</v>
      </c>
      <c r="C43" s="3">
        <f>$C$21</f>
        <v>51959.649052631583</v>
      </c>
      <c r="D43" s="3">
        <f>$D$21</f>
        <v>51959.649052631583</v>
      </c>
      <c r="E43" s="3">
        <f>$E$21</f>
        <v>51959.649052631583</v>
      </c>
      <c r="F43" s="3">
        <f>$F$21</f>
        <v>51959.649052631583</v>
      </c>
      <c r="G43" s="3">
        <f>$G$21</f>
        <v>16959.64905263159</v>
      </c>
      <c r="H43" s="3">
        <f>$H$21</f>
        <v>51959.649052631583</v>
      </c>
      <c r="I43" s="3">
        <f>$I$21</f>
        <v>51959.649052631583</v>
      </c>
      <c r="J43" s="3">
        <f>$J$21</f>
        <v>51959.649052631583</v>
      </c>
      <c r="K43" s="3">
        <f>$K$21</f>
        <v>51959.649052631583</v>
      </c>
      <c r="L43" s="3">
        <f>$L$21</f>
        <v>51959.649052631583</v>
      </c>
    </row>
    <row r="44" spans="1:12">
      <c r="A44" s="4" t="s">
        <v>25</v>
      </c>
      <c r="B44" s="4">
        <f>IFERROR(IRR(B43:L43),NA())</f>
        <v>1.3681975602130185</v>
      </c>
    </row>
    <row r="46" spans="1:12">
      <c r="A46" t="s">
        <v>41</v>
      </c>
      <c r="B46" s="4">
        <v>0.3</v>
      </c>
    </row>
    <row r="47" spans="1:12">
      <c r="A47" t="s">
        <v>61</v>
      </c>
      <c r="B47" s="3">
        <f>$B$12*(1-B46)</f>
        <v>35000</v>
      </c>
    </row>
    <row r="48" spans="1:12">
      <c r="A48" s="4" t="s">
        <v>62</v>
      </c>
      <c r="B48" s="3">
        <f>-B47</f>
        <v>-35000</v>
      </c>
      <c r="C48" s="3">
        <f>$C$21</f>
        <v>51959.649052631583</v>
      </c>
      <c r="D48" s="3">
        <f>$D$21</f>
        <v>51959.649052631583</v>
      </c>
      <c r="E48" s="3">
        <f>$E$21</f>
        <v>51959.649052631583</v>
      </c>
      <c r="F48" s="3">
        <f>$F$21</f>
        <v>51959.649052631583</v>
      </c>
      <c r="G48" s="3">
        <f>$G$21</f>
        <v>16959.64905263159</v>
      </c>
      <c r="H48" s="3">
        <f>$H$21</f>
        <v>51959.649052631583</v>
      </c>
      <c r="I48" s="3">
        <f>$I$21</f>
        <v>51959.649052631583</v>
      </c>
      <c r="J48" s="3">
        <f>$J$21</f>
        <v>51959.649052631583</v>
      </c>
      <c r="K48" s="3">
        <f>$K$21</f>
        <v>51959.649052631583</v>
      </c>
      <c r="L48" s="3">
        <f>$L$21</f>
        <v>51959.649052631583</v>
      </c>
    </row>
    <row r="49" spans="1:12">
      <c r="A49" s="4" t="s">
        <v>25</v>
      </c>
      <c r="B49" s="4">
        <f>IFERROR(IRR(B48:L48),NA())</f>
        <v>1.4683598812085963</v>
      </c>
    </row>
    <row r="51" spans="1:12">
      <c r="A51" t="s">
        <v>41</v>
      </c>
      <c r="B51" s="4">
        <v>0.35</v>
      </c>
    </row>
    <row r="52" spans="1:12">
      <c r="A52" t="s">
        <v>61</v>
      </c>
      <c r="B52" s="3">
        <f>$B$12*(1-B51)</f>
        <v>32500</v>
      </c>
    </row>
    <row r="53" spans="1:12">
      <c r="A53" s="4" t="s">
        <v>62</v>
      </c>
      <c r="B53" s="3">
        <f>-B52</f>
        <v>-32500</v>
      </c>
      <c r="C53" s="3">
        <f>$C$21</f>
        <v>51959.649052631583</v>
      </c>
      <c r="D53" s="3">
        <f>$D$21</f>
        <v>51959.649052631583</v>
      </c>
      <c r="E53" s="3">
        <f>$E$21</f>
        <v>51959.649052631583</v>
      </c>
      <c r="F53" s="3">
        <f>$F$21</f>
        <v>51959.649052631583</v>
      </c>
      <c r="G53" s="3">
        <f>$G$21</f>
        <v>16959.64905263159</v>
      </c>
      <c r="H53" s="3">
        <f>$H$21</f>
        <v>51959.649052631583</v>
      </c>
      <c r="I53" s="3">
        <f>$I$21</f>
        <v>51959.649052631583</v>
      </c>
      <c r="J53" s="3">
        <f>$J$21</f>
        <v>51959.649052631583</v>
      </c>
      <c r="K53" s="3">
        <f>$K$21</f>
        <v>51959.649052631583</v>
      </c>
      <c r="L53" s="3">
        <f>$L$21</f>
        <v>51959.649052631583</v>
      </c>
    </row>
    <row r="54" spans="1:12">
      <c r="A54" s="4" t="s">
        <v>25</v>
      </c>
      <c r="B54" s="4">
        <f>IFERROR(IRR(B53:L53),NA())</f>
        <v>1.5838272024979307</v>
      </c>
    </row>
    <row r="56" spans="1:12">
      <c r="A56" t="s">
        <v>41</v>
      </c>
      <c r="B56" s="4">
        <v>0.4</v>
      </c>
    </row>
    <row r="57" spans="1:12">
      <c r="A57" t="s">
        <v>61</v>
      </c>
      <c r="B57" s="3">
        <f>$B$12*(1-B56)</f>
        <v>30000</v>
      </c>
    </row>
    <row r="58" spans="1:12">
      <c r="A58" s="4" t="s">
        <v>62</v>
      </c>
      <c r="B58" s="3">
        <f>-B57</f>
        <v>-30000</v>
      </c>
      <c r="C58" s="3">
        <f>$C$21</f>
        <v>51959.649052631583</v>
      </c>
      <c r="D58" s="3">
        <f>$D$21</f>
        <v>51959.649052631583</v>
      </c>
      <c r="E58" s="3">
        <f>$E$21</f>
        <v>51959.649052631583</v>
      </c>
      <c r="F58" s="3">
        <f>$F$21</f>
        <v>51959.649052631583</v>
      </c>
      <c r="G58" s="3">
        <f>$G$21</f>
        <v>16959.64905263159</v>
      </c>
      <c r="H58" s="3">
        <f>$H$21</f>
        <v>51959.649052631583</v>
      </c>
      <c r="I58" s="3">
        <f>$I$21</f>
        <v>51959.649052631583</v>
      </c>
      <c r="J58" s="3">
        <f>$J$21</f>
        <v>51959.649052631583</v>
      </c>
      <c r="K58" s="3">
        <f>$K$21</f>
        <v>51959.649052631583</v>
      </c>
      <c r="L58" s="3">
        <f>$L$21</f>
        <v>51959.649052631583</v>
      </c>
    </row>
    <row r="59" spans="1:12">
      <c r="A59" s="4" t="s">
        <v>25</v>
      </c>
      <c r="B59" s="4">
        <f>IFERROR(IRR(B58:L58),NA())</f>
        <v>1.7184044808484731</v>
      </c>
    </row>
    <row r="61" spans="1:12">
      <c r="A61" t="s">
        <v>41</v>
      </c>
      <c r="B61" s="4">
        <v>0.45</v>
      </c>
    </row>
    <row r="62" spans="1:12">
      <c r="A62" t="s">
        <v>61</v>
      </c>
      <c r="B62" s="3">
        <f>$B$12*(1-B61)</f>
        <v>27500.000000000004</v>
      </c>
    </row>
    <row r="63" spans="1:12">
      <c r="A63" s="4" t="s">
        <v>62</v>
      </c>
      <c r="B63" s="3">
        <f>-B62</f>
        <v>-27500.000000000004</v>
      </c>
      <c r="C63" s="3">
        <f>$C$21</f>
        <v>51959.649052631583</v>
      </c>
      <c r="D63" s="3">
        <f>$D$21</f>
        <v>51959.649052631583</v>
      </c>
      <c r="E63" s="3">
        <f>$E$21</f>
        <v>51959.649052631583</v>
      </c>
      <c r="F63" s="3">
        <f>$F$21</f>
        <v>51959.649052631583</v>
      </c>
      <c r="G63" s="3">
        <f>$G$21</f>
        <v>16959.64905263159</v>
      </c>
      <c r="H63" s="3">
        <f>$H$21</f>
        <v>51959.649052631583</v>
      </c>
      <c r="I63" s="3">
        <f>$I$21</f>
        <v>51959.649052631583</v>
      </c>
      <c r="J63" s="3">
        <f>$J$21</f>
        <v>51959.649052631583</v>
      </c>
      <c r="K63" s="3">
        <f>$K$21</f>
        <v>51959.649052631583</v>
      </c>
      <c r="L63" s="3">
        <f>$L$21</f>
        <v>51959.649052631583</v>
      </c>
    </row>
    <row r="64" spans="1:12">
      <c r="A64" s="4" t="s">
        <v>25</v>
      </c>
      <c r="B64" s="4">
        <f>IFERROR(IRR(B63:L63),NA())</f>
        <v>1.8772773112104999</v>
      </c>
    </row>
    <row r="66" spans="1:12">
      <c r="A66" t="s">
        <v>41</v>
      </c>
      <c r="B66" s="4">
        <v>0.5</v>
      </c>
    </row>
    <row r="67" spans="1:12">
      <c r="A67" t="s">
        <v>61</v>
      </c>
      <c r="B67" s="3">
        <f>$B$12*(1-B66)</f>
        <v>25000</v>
      </c>
    </row>
    <row r="68" spans="1:12">
      <c r="A68" s="4" t="s">
        <v>62</v>
      </c>
      <c r="B68" s="3">
        <f>-B67</f>
        <v>-25000</v>
      </c>
      <c r="C68" s="3">
        <f>$C$21</f>
        <v>51959.649052631583</v>
      </c>
      <c r="D68" s="3">
        <f>$D$21</f>
        <v>51959.649052631583</v>
      </c>
      <c r="E68" s="3">
        <f>$E$21</f>
        <v>51959.649052631583</v>
      </c>
      <c r="F68" s="3">
        <f>$F$21</f>
        <v>51959.649052631583</v>
      </c>
      <c r="G68" s="3">
        <f>$G$21</f>
        <v>16959.64905263159</v>
      </c>
      <c r="H68" s="3">
        <f>$H$21</f>
        <v>51959.649052631583</v>
      </c>
      <c r="I68" s="3">
        <f>$I$21</f>
        <v>51959.649052631583</v>
      </c>
      <c r="J68" s="3">
        <f>$J$21</f>
        <v>51959.649052631583</v>
      </c>
      <c r="K68" s="3">
        <f>$K$21</f>
        <v>51959.649052631583</v>
      </c>
      <c r="L68" s="3">
        <f>$L$21</f>
        <v>51959.649052631583</v>
      </c>
    </row>
    <row r="69" spans="1:12">
      <c r="A69" s="4" t="s">
        <v>25</v>
      </c>
      <c r="B69" s="4">
        <f>IFERROR(IRR(B68:L68),NA())</f>
        <v>2.0677028970180169</v>
      </c>
    </row>
    <row r="71" spans="1:12">
      <c r="A71" t="s">
        <v>41</v>
      </c>
      <c r="B71" s="4">
        <v>0.55000000000000004</v>
      </c>
    </row>
    <row r="72" spans="1:12">
      <c r="A72" t="s">
        <v>61</v>
      </c>
      <c r="B72" s="3">
        <f>$B$12*(1-B71)</f>
        <v>22499.999999999996</v>
      </c>
    </row>
    <row r="73" spans="1:12">
      <c r="A73" s="4" t="s">
        <v>62</v>
      </c>
      <c r="B73" s="3">
        <f>-B72</f>
        <v>-22499.999999999996</v>
      </c>
      <c r="C73" s="3">
        <f>$C$21</f>
        <v>51959.649052631583</v>
      </c>
      <c r="D73" s="3">
        <f>$D$21</f>
        <v>51959.649052631583</v>
      </c>
      <c r="E73" s="3">
        <f>$E$21</f>
        <v>51959.649052631583</v>
      </c>
      <c r="F73" s="3">
        <f>$F$21</f>
        <v>51959.649052631583</v>
      </c>
      <c r="G73" s="3">
        <f>$G$21</f>
        <v>16959.64905263159</v>
      </c>
      <c r="H73" s="3">
        <f>$H$21</f>
        <v>51959.649052631583</v>
      </c>
      <c r="I73" s="3">
        <f>$I$21</f>
        <v>51959.649052631583</v>
      </c>
      <c r="J73" s="3">
        <f>$J$21</f>
        <v>51959.649052631583</v>
      </c>
      <c r="K73" s="3">
        <f>$K$21</f>
        <v>51959.649052631583</v>
      </c>
      <c r="L73" s="3">
        <f>$L$21</f>
        <v>51959.649052631583</v>
      </c>
    </row>
    <row r="74" spans="1:12">
      <c r="A74" s="4" t="s">
        <v>25</v>
      </c>
      <c r="B74" s="4">
        <f>IFERROR(IRR(B73:L73),NA())</f>
        <v>2.3001622155718673</v>
      </c>
    </row>
    <row r="76" spans="1:12">
      <c r="A76" t="s">
        <v>41</v>
      </c>
      <c r="B76" s="4">
        <v>0.6</v>
      </c>
    </row>
    <row r="77" spans="1:12">
      <c r="A77" t="s">
        <v>61</v>
      </c>
      <c r="B77" s="3">
        <f>$B$12*(1-B76)</f>
        <v>20000</v>
      </c>
    </row>
    <row r="78" spans="1:12">
      <c r="A78" s="4" t="s">
        <v>62</v>
      </c>
      <c r="B78" s="3">
        <f>-B77</f>
        <v>-20000</v>
      </c>
      <c r="C78" s="3">
        <f>$C$21</f>
        <v>51959.649052631583</v>
      </c>
      <c r="D78" s="3">
        <f>$D$21</f>
        <v>51959.649052631583</v>
      </c>
      <c r="E78" s="3">
        <f>$E$21</f>
        <v>51959.649052631583</v>
      </c>
      <c r="F78" s="3">
        <f>$F$21</f>
        <v>51959.649052631583</v>
      </c>
      <c r="G78" s="3">
        <f>$G$21</f>
        <v>16959.64905263159</v>
      </c>
      <c r="H78" s="3">
        <f>$H$21</f>
        <v>51959.649052631583</v>
      </c>
      <c r="I78" s="3">
        <f>$I$21</f>
        <v>51959.649052631583</v>
      </c>
      <c r="J78" s="3">
        <f>$J$21</f>
        <v>51959.649052631583</v>
      </c>
      <c r="K78" s="3">
        <f>$K$21</f>
        <v>51959.649052631583</v>
      </c>
      <c r="L78" s="3">
        <f>$L$21</f>
        <v>51959.649052631583</v>
      </c>
    </row>
    <row r="79" spans="1:12">
      <c r="A79" s="4" t="s">
        <v>25</v>
      </c>
      <c r="B79" s="4">
        <f>IFERROR(IRR(B78:L78),NA())</f>
        <v>2.5903771293883588</v>
      </c>
    </row>
    <row r="81" spans="1:12">
      <c r="A81" t="s">
        <v>41</v>
      </c>
      <c r="B81" s="4">
        <v>0.65</v>
      </c>
    </row>
    <row r="82" spans="1:12">
      <c r="A82" t="s">
        <v>61</v>
      </c>
      <c r="B82" s="3">
        <f>$B$12*(1-B81)</f>
        <v>17500</v>
      </c>
    </row>
    <row r="83" spans="1:12">
      <c r="A83" s="4" t="s">
        <v>62</v>
      </c>
      <c r="B83" s="3">
        <f>-B82</f>
        <v>-17500</v>
      </c>
      <c r="C83" s="3">
        <f>$C$21</f>
        <v>51959.649052631583</v>
      </c>
      <c r="D83" s="3">
        <f>$D$21</f>
        <v>51959.649052631583</v>
      </c>
      <c r="E83" s="3">
        <f>$E$21</f>
        <v>51959.649052631583</v>
      </c>
      <c r="F83" s="3">
        <f>$F$21</f>
        <v>51959.649052631583</v>
      </c>
      <c r="G83" s="3">
        <f>$G$21</f>
        <v>16959.64905263159</v>
      </c>
      <c r="H83" s="3">
        <f>$H$21</f>
        <v>51959.649052631583</v>
      </c>
      <c r="I83" s="3">
        <f>$I$21</f>
        <v>51959.649052631583</v>
      </c>
      <c r="J83" s="3">
        <f>$J$21</f>
        <v>51959.649052631583</v>
      </c>
      <c r="K83" s="3">
        <f>$K$21</f>
        <v>51959.649052631583</v>
      </c>
      <c r="L83" s="3">
        <f>$L$21</f>
        <v>51959.649052631583</v>
      </c>
    </row>
    <row r="84" spans="1:12">
      <c r="A84" s="4" t="s">
        <v>25</v>
      </c>
      <c r="B84" s="4">
        <f>IFERROR(IRR(B83:L83),NA())</f>
        <v>2.9630576652978635</v>
      </c>
    </row>
    <row r="86" spans="1:12">
      <c r="A86" t="s">
        <v>41</v>
      </c>
      <c r="B86" s="4">
        <v>0.7</v>
      </c>
    </row>
    <row r="87" spans="1:12">
      <c r="A87" t="s">
        <v>61</v>
      </c>
      <c r="B87" s="3">
        <f>$B$12*(1-B86)</f>
        <v>15000.000000000002</v>
      </c>
    </row>
    <row r="88" spans="1:12">
      <c r="A88" s="4" t="s">
        <v>62</v>
      </c>
      <c r="B88" s="3">
        <f>-B87</f>
        <v>-15000.000000000002</v>
      </c>
      <c r="C88" s="3">
        <f>$C$21</f>
        <v>51959.649052631583</v>
      </c>
      <c r="D88" s="3">
        <f>$D$21</f>
        <v>51959.649052631583</v>
      </c>
      <c r="E88" s="3">
        <f>$E$21</f>
        <v>51959.649052631583</v>
      </c>
      <c r="F88" s="3">
        <f>$F$21</f>
        <v>51959.649052631583</v>
      </c>
      <c r="G88" s="3">
        <f>$G$21</f>
        <v>16959.64905263159</v>
      </c>
      <c r="H88" s="3">
        <f>$H$21</f>
        <v>51959.649052631583</v>
      </c>
      <c r="I88" s="3">
        <f>$I$21</f>
        <v>51959.649052631583</v>
      </c>
      <c r="J88" s="3">
        <f>$J$21</f>
        <v>51959.649052631583</v>
      </c>
      <c r="K88" s="3">
        <f>$K$21</f>
        <v>51959.649052631583</v>
      </c>
      <c r="L88" s="3">
        <f>$L$21</f>
        <v>51959.649052631583</v>
      </c>
    </row>
    <row r="89" spans="1:12">
      <c r="A89" s="4" t="s">
        <v>25</v>
      </c>
      <c r="B89" s="4">
        <f>IFERROR(IRR(B88:L88),NA())</f>
        <v>3.4593983304523741</v>
      </c>
    </row>
    <row r="91" spans="1:12">
      <c r="A91" t="s">
        <v>41</v>
      </c>
      <c r="B91" s="4">
        <v>0.75</v>
      </c>
    </row>
    <row r="92" spans="1:12">
      <c r="A92" t="s">
        <v>61</v>
      </c>
      <c r="B92" s="3">
        <f>$B$12*(1-B91)</f>
        <v>12500</v>
      </c>
    </row>
    <row r="93" spans="1:12">
      <c r="A93" s="4" t="s">
        <v>62</v>
      </c>
      <c r="B93" s="3">
        <f>-B92</f>
        <v>-12500</v>
      </c>
      <c r="C93" s="3">
        <f>$C$21</f>
        <v>51959.649052631583</v>
      </c>
      <c r="D93" s="3">
        <f>$D$21</f>
        <v>51959.649052631583</v>
      </c>
      <c r="E93" s="3">
        <f>$E$21</f>
        <v>51959.649052631583</v>
      </c>
      <c r="F93" s="3">
        <f>$F$21</f>
        <v>51959.649052631583</v>
      </c>
      <c r="G93" s="3">
        <f>$G$21</f>
        <v>16959.64905263159</v>
      </c>
      <c r="H93" s="3">
        <f>$H$21</f>
        <v>51959.649052631583</v>
      </c>
      <c r="I93" s="3">
        <f>$I$21</f>
        <v>51959.649052631583</v>
      </c>
      <c r="J93" s="3">
        <f>$J$21</f>
        <v>51959.649052631583</v>
      </c>
      <c r="K93" s="3">
        <f>$K$21</f>
        <v>51959.649052631583</v>
      </c>
      <c r="L93" s="3">
        <f>$L$21</f>
        <v>51959.649052631583</v>
      </c>
    </row>
    <row r="94" spans="1:12">
      <c r="A94" s="4" t="s">
        <v>25</v>
      </c>
      <c r="B94" s="4">
        <f>IFERROR(IRR(B93:L93),NA())</f>
        <v>4.1535724354121069</v>
      </c>
    </row>
    <row r="96" spans="1:12">
      <c r="A96" t="s">
        <v>41</v>
      </c>
      <c r="B96" s="4">
        <v>0.8</v>
      </c>
    </row>
    <row r="97" spans="1:12">
      <c r="A97" t="s">
        <v>61</v>
      </c>
      <c r="B97" s="3">
        <f>$B$12*(1-B96)</f>
        <v>9999.9999999999982</v>
      </c>
    </row>
    <row r="98" spans="1:12">
      <c r="A98" s="4" t="s">
        <v>62</v>
      </c>
      <c r="B98" s="3">
        <f>-B97</f>
        <v>-9999.9999999999982</v>
      </c>
      <c r="C98" s="3">
        <f>$C$21</f>
        <v>51959.649052631583</v>
      </c>
      <c r="D98" s="3">
        <f>$D$21</f>
        <v>51959.649052631583</v>
      </c>
      <c r="E98" s="3">
        <f>$E$21</f>
        <v>51959.649052631583</v>
      </c>
      <c r="F98" s="3">
        <f>$F$21</f>
        <v>51959.649052631583</v>
      </c>
      <c r="G98" s="3">
        <f>$G$21</f>
        <v>16959.64905263159</v>
      </c>
      <c r="H98" s="3">
        <f>$H$21</f>
        <v>51959.649052631583</v>
      </c>
      <c r="I98" s="3">
        <f>$I$21</f>
        <v>51959.649052631583</v>
      </c>
      <c r="J98" s="3">
        <f>$J$21</f>
        <v>51959.649052631583</v>
      </c>
      <c r="K98" s="3">
        <f>$K$21</f>
        <v>51959.649052631583</v>
      </c>
      <c r="L98" s="3">
        <f>$L$21</f>
        <v>51959.649052631583</v>
      </c>
    </row>
    <row r="99" spans="1:12">
      <c r="A99" s="4" t="s">
        <v>25</v>
      </c>
      <c r="B99" s="4">
        <f>IFERROR(IRR(B98:L98),NA())</f>
        <v>5.1939708583126079</v>
      </c>
    </row>
    <row r="101" spans="1:12">
      <c r="A101" t="s">
        <v>41</v>
      </c>
      <c r="B101" s="4">
        <v>0.85</v>
      </c>
    </row>
    <row r="102" spans="1:12">
      <c r="A102" t="s">
        <v>61</v>
      </c>
      <c r="B102" s="3">
        <f>$B$12*(1-B101)</f>
        <v>7500.0000000000009</v>
      </c>
    </row>
    <row r="103" spans="1:12">
      <c r="A103" s="4" t="s">
        <v>62</v>
      </c>
      <c r="B103" s="3">
        <f>-B102</f>
        <v>-7500.0000000000009</v>
      </c>
      <c r="C103" s="3">
        <f>$C$21</f>
        <v>51959.649052631583</v>
      </c>
      <c r="D103" s="3">
        <f>$D$21</f>
        <v>51959.649052631583</v>
      </c>
      <c r="E103" s="3">
        <f>$E$21</f>
        <v>51959.649052631583</v>
      </c>
      <c r="F103" s="3">
        <f>$F$21</f>
        <v>51959.649052631583</v>
      </c>
      <c r="G103" s="3">
        <f>$G$21</f>
        <v>16959.64905263159</v>
      </c>
      <c r="H103" s="3">
        <f>$H$21</f>
        <v>51959.649052631583</v>
      </c>
      <c r="I103" s="3">
        <f>$I$21</f>
        <v>51959.649052631583</v>
      </c>
      <c r="J103" s="3">
        <f>$J$21</f>
        <v>51959.649052631583</v>
      </c>
      <c r="K103" s="3">
        <f>$K$21</f>
        <v>51959.649052631583</v>
      </c>
      <c r="L103" s="3">
        <f>$L$21</f>
        <v>51959.649052631583</v>
      </c>
    </row>
    <row r="104" spans="1:12">
      <c r="A104" s="4" t="s">
        <v>25</v>
      </c>
      <c r="B104" s="4">
        <f>IFERROR(IRR(B103:L103),NA())</f>
        <v>6.9269203802836641</v>
      </c>
    </row>
    <row r="106" spans="1:12">
      <c r="A106" t="s">
        <v>41</v>
      </c>
      <c r="B106" s="4">
        <v>0.9</v>
      </c>
    </row>
    <row r="107" spans="1:12">
      <c r="A107" t="s">
        <v>61</v>
      </c>
      <c r="B107" s="3">
        <f>$B$12*(1-B106)</f>
        <v>4999.9999999999991</v>
      </c>
    </row>
    <row r="108" spans="1:12">
      <c r="A108" s="4" t="s">
        <v>62</v>
      </c>
      <c r="B108" s="3">
        <f>-B107</f>
        <v>-4999.9999999999991</v>
      </c>
      <c r="C108" s="3">
        <f>$C$21</f>
        <v>51959.649052631583</v>
      </c>
      <c r="D108" s="3">
        <f>$D$21</f>
        <v>51959.649052631583</v>
      </c>
      <c r="E108" s="3">
        <f>$E$21</f>
        <v>51959.649052631583</v>
      </c>
      <c r="F108" s="3">
        <f>$F$21</f>
        <v>51959.649052631583</v>
      </c>
      <c r="G108" s="3">
        <f>$G$21</f>
        <v>16959.64905263159</v>
      </c>
      <c r="H108" s="3">
        <f>$H$21</f>
        <v>51959.649052631583</v>
      </c>
      <c r="I108" s="3">
        <f>$I$21</f>
        <v>51959.649052631583</v>
      </c>
      <c r="J108" s="3">
        <f>$J$21</f>
        <v>51959.649052631583</v>
      </c>
      <c r="K108" s="3">
        <f>$K$21</f>
        <v>51959.649052631583</v>
      </c>
      <c r="L108" s="3">
        <f>$L$21</f>
        <v>51959.649052631583</v>
      </c>
    </row>
    <row r="109" spans="1:12">
      <c r="A109" s="4" t="s">
        <v>25</v>
      </c>
      <c r="B109" s="4">
        <f>IFERROR(IRR(B108:L108),NA())</f>
        <v>10.391550613857172</v>
      </c>
    </row>
    <row r="111" spans="1:12">
      <c r="A111" t="s">
        <v>41</v>
      </c>
      <c r="B111" s="4">
        <v>0.95</v>
      </c>
    </row>
    <row r="112" spans="1:12">
      <c r="A112" t="s">
        <v>61</v>
      </c>
      <c r="B112" s="3">
        <f>$B$12*(1-B111)</f>
        <v>2500.0000000000023</v>
      </c>
    </row>
    <row r="113" spans="1:20">
      <c r="A113" s="4" t="s">
        <v>62</v>
      </c>
      <c r="B113" s="3">
        <f>-B112</f>
        <v>-2500.0000000000023</v>
      </c>
      <c r="C113" s="3">
        <f>$C$21</f>
        <v>51959.649052631583</v>
      </c>
      <c r="D113" s="3">
        <f>$D$21</f>
        <v>51959.649052631583</v>
      </c>
      <c r="E113" s="3">
        <f>$E$21</f>
        <v>51959.649052631583</v>
      </c>
      <c r="F113" s="3">
        <f>$F$21</f>
        <v>51959.649052631583</v>
      </c>
      <c r="G113" s="3">
        <f>$G$21</f>
        <v>16959.64905263159</v>
      </c>
      <c r="H113" s="3">
        <f>$H$21</f>
        <v>51959.649052631583</v>
      </c>
      <c r="I113" s="3">
        <f>$I$21</f>
        <v>51959.649052631583</v>
      </c>
      <c r="J113" s="3">
        <f>$J$21</f>
        <v>51959.649052631583</v>
      </c>
      <c r="K113" s="3">
        <f>$K$21</f>
        <v>51959.649052631583</v>
      </c>
      <c r="L113" s="3">
        <f>$L$21</f>
        <v>51959.649052631583</v>
      </c>
    </row>
    <row r="114" spans="1:20">
      <c r="A114" s="4" t="s">
        <v>25</v>
      </c>
      <c r="B114" s="4">
        <f>IFERROR(IRR(B113:L113),NA())</f>
        <v>20.783800303086799</v>
      </c>
    </row>
    <row r="116" spans="1:20">
      <c r="A116" t="s">
        <v>41</v>
      </c>
      <c r="B116" s="4">
        <v>1</v>
      </c>
    </row>
    <row r="117" spans="1:20">
      <c r="A117" t="s">
        <v>61</v>
      </c>
      <c r="B117" s="3">
        <f>$B$12*(1-B116)</f>
        <v>0</v>
      </c>
    </row>
    <row r="118" spans="1:20">
      <c r="A118" s="4" t="s">
        <v>62</v>
      </c>
      <c r="B118" s="3">
        <f>-B117</f>
        <v>0</v>
      </c>
      <c r="C118" s="3">
        <f>$C$21</f>
        <v>51959.649052631583</v>
      </c>
      <c r="D118" s="3">
        <f>$D$21</f>
        <v>51959.649052631583</v>
      </c>
      <c r="E118" s="3">
        <f>$E$21</f>
        <v>51959.649052631583</v>
      </c>
      <c r="F118" s="3">
        <f>$F$21</f>
        <v>51959.649052631583</v>
      </c>
      <c r="G118" s="3">
        <f>$G$21</f>
        <v>16959.64905263159</v>
      </c>
      <c r="H118" s="3">
        <f>$H$21</f>
        <v>51959.649052631583</v>
      </c>
      <c r="I118" s="3">
        <f>$I$21</f>
        <v>51959.649052631583</v>
      </c>
      <c r="J118" s="3">
        <f>$J$21</f>
        <v>51959.649052631583</v>
      </c>
      <c r="K118" s="3">
        <f>$K$21</f>
        <v>51959.649052631583</v>
      </c>
      <c r="L118" s="3">
        <f>$L$21</f>
        <v>51959.649052631583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63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>
        <f>B29</f>
        <v>1.1341444323230014</v>
      </c>
      <c r="C124" s="4">
        <f>B34</f>
        <v>1.2030339853934953</v>
      </c>
      <c r="D124" s="4">
        <f>B39</f>
        <v>1.2804842895795709</v>
      </c>
      <c r="E124" s="4">
        <f>B44</f>
        <v>1.3681975602130185</v>
      </c>
      <c r="F124" s="4">
        <f>B49</f>
        <v>1.4683598812085963</v>
      </c>
      <c r="G124" s="4">
        <f>B54</f>
        <v>1.5838272024979307</v>
      </c>
      <c r="H124" s="4">
        <f>B59</f>
        <v>1.7184044808484731</v>
      </c>
      <c r="I124" s="4">
        <f>B64</f>
        <v>1.8772773112104999</v>
      </c>
      <c r="J124" s="4">
        <f>B69</f>
        <v>2.0677028970180169</v>
      </c>
      <c r="K124" s="4">
        <f>B74</f>
        <v>2.3001622155718673</v>
      </c>
      <c r="L124" s="4">
        <f>B79</f>
        <v>2.5903771293883588</v>
      </c>
      <c r="M124" s="4">
        <f>B84</f>
        <v>2.9630576652978635</v>
      </c>
      <c r="N124" s="4">
        <f>B89</f>
        <v>3.4593983304523741</v>
      </c>
      <c r="O124" s="4">
        <f>B94</f>
        <v>4.1535724354121069</v>
      </c>
      <c r="P124" s="4">
        <f>B99</f>
        <v>5.1939708583126079</v>
      </c>
      <c r="Q124" s="4">
        <f>B104</f>
        <v>6.9269203802836641</v>
      </c>
      <c r="R124" s="4">
        <f>B109</f>
        <v>10.391550613857172</v>
      </c>
      <c r="S124" s="4">
        <f>B114</f>
        <v>20.783800303086799</v>
      </c>
      <c r="T124" s="4" t="e">
        <f>B119</f>
        <v>#N/A</v>
      </c>
    </row>
    <row r="125" spans="1:20">
      <c r="A125" t="s">
        <v>64</v>
      </c>
      <c r="B125" s="4" t="e">
        <f>LOOKUP('IRR inputs &amp; outputs'!B18, B124:P124, B123:P123)</f>
        <v>#N/A</v>
      </c>
    </row>
    <row r="126" spans="1:20">
      <c r="A126" t="s">
        <v>65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566A1-B0E7-4CDD-B46A-6871F9F1B1F0}">
  <dimension ref="A1:T126"/>
  <sheetViews>
    <sheetView workbookViewId="0">
      <selection activeCell="A17" sqref="A17:L18"/>
    </sheetView>
  </sheetViews>
  <sheetFormatPr defaultRowHeight="14.25"/>
  <cols>
    <col min="1" max="1" width="14.7109375" bestFit="1" customWidth="1"/>
  </cols>
  <sheetData>
    <row r="1" spans="1:15">
      <c r="A1" s="1" t="s">
        <v>24</v>
      </c>
      <c r="B1" s="5">
        <v>0.5</v>
      </c>
    </row>
    <row r="2" spans="1:15">
      <c r="A2" t="s">
        <v>44</v>
      </c>
      <c r="B2">
        <f>24*365</f>
        <v>8760</v>
      </c>
    </row>
    <row r="3" spans="1:15">
      <c r="A3" t="s">
        <v>45</v>
      </c>
      <c r="B3">
        <f>B2*B1*'IRR inputs &amp; outputs'!B2*'IRR inputs &amp; outputs'!B3*'IRR inputs &amp; outputs'!$B$7</f>
        <v>217248</v>
      </c>
      <c r="C3" t="s">
        <v>46</v>
      </c>
    </row>
    <row r="5" spans="1:15">
      <c r="A5" s="1" t="s">
        <v>47</v>
      </c>
      <c r="B5">
        <v>0</v>
      </c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</row>
    <row r="6" spans="1:15">
      <c r="A6" s="1" t="s">
        <v>48</v>
      </c>
      <c r="B6" s="2"/>
      <c r="C6" s="2"/>
      <c r="D6" s="2"/>
      <c r="E6" s="2"/>
      <c r="F6" s="2"/>
      <c r="G6" s="2"/>
      <c r="H6" s="2"/>
      <c r="I6" s="2"/>
      <c r="J6" s="2"/>
      <c r="K6" s="2"/>
    </row>
    <row r="7" spans="1:15">
      <c r="A7" t="s">
        <v>49</v>
      </c>
      <c r="B7" s="2"/>
      <c r="C7" s="2">
        <f>$B$3*'IRR inputs &amp; outputs'!$B$13</f>
        <v>119486.40000000001</v>
      </c>
      <c r="D7" s="2">
        <f>$B$3*'IRR inputs &amp; outputs'!$B$13</f>
        <v>119486.40000000001</v>
      </c>
      <c r="E7" s="2">
        <f>$B$3*'IRR inputs &amp; outputs'!$B$13</f>
        <v>119486.40000000001</v>
      </c>
      <c r="F7" s="2">
        <f>$B$3*'IRR inputs &amp; outputs'!$B$13</f>
        <v>119486.40000000001</v>
      </c>
      <c r="G7" s="2">
        <f>$B$3*'IRR inputs &amp; outputs'!$B$13</f>
        <v>119486.40000000001</v>
      </c>
      <c r="H7" s="2">
        <f>$B$3*'IRR inputs &amp; outputs'!$B$13</f>
        <v>119486.40000000001</v>
      </c>
      <c r="I7" s="2">
        <f>$B$3*'IRR inputs &amp; outputs'!$B$13</f>
        <v>119486.40000000001</v>
      </c>
      <c r="J7" s="2">
        <f>$B$3*'IRR inputs &amp; outputs'!$B$13</f>
        <v>119486.40000000001</v>
      </c>
      <c r="K7" s="2">
        <f>$B$3*'IRR inputs &amp; outputs'!$B$13</f>
        <v>119486.40000000001</v>
      </c>
      <c r="L7" s="2">
        <f>$B$3*'IRR inputs &amp; outputs'!$B$13</f>
        <v>119486.40000000001</v>
      </c>
    </row>
    <row r="8" spans="1:15">
      <c r="B8" s="2"/>
      <c r="C8" s="2"/>
      <c r="D8" s="2"/>
      <c r="E8" s="2"/>
      <c r="F8" s="2"/>
      <c r="G8" s="2"/>
      <c r="H8" s="2"/>
      <c r="I8" s="2"/>
      <c r="J8" s="2"/>
      <c r="K8" s="2"/>
      <c r="L8" s="2"/>
      <c r="O8" s="1"/>
    </row>
    <row r="9" spans="1:15">
      <c r="A9" t="s">
        <v>50</v>
      </c>
      <c r="B9" s="2"/>
      <c r="C9" s="2">
        <f t="shared" ref="C9:L9" si="0">SUM(C7:C8)</f>
        <v>119486.40000000001</v>
      </c>
      <c r="D9" s="2">
        <f t="shared" si="0"/>
        <v>119486.40000000001</v>
      </c>
      <c r="E9" s="2">
        <f t="shared" si="0"/>
        <v>119486.40000000001</v>
      </c>
      <c r="F9" s="2">
        <f t="shared" si="0"/>
        <v>119486.40000000001</v>
      </c>
      <c r="G9" s="2">
        <f t="shared" si="0"/>
        <v>119486.40000000001</v>
      </c>
      <c r="H9" s="2">
        <f t="shared" si="0"/>
        <v>119486.40000000001</v>
      </c>
      <c r="I9" s="2">
        <f t="shared" si="0"/>
        <v>119486.40000000001</v>
      </c>
      <c r="J9" s="2">
        <f t="shared" si="0"/>
        <v>119486.40000000001</v>
      </c>
      <c r="K9" s="2">
        <f t="shared" si="0"/>
        <v>119486.40000000001</v>
      </c>
      <c r="L9" s="2">
        <f t="shared" si="0"/>
        <v>119486.40000000001</v>
      </c>
    </row>
    <row r="10" spans="1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5">
      <c r="A11" s="1" t="s">
        <v>51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5">
      <c r="A12" t="s">
        <v>7</v>
      </c>
      <c r="B12" s="2">
        <f>'IRR inputs &amp; outputs'!B6</f>
        <v>50000</v>
      </c>
      <c r="C12" s="2"/>
      <c r="D12" s="2"/>
      <c r="E12" s="2"/>
      <c r="F12" s="2"/>
      <c r="G12" s="2">
        <f>'IRR inputs &amp; outputs'!B15</f>
        <v>35000</v>
      </c>
      <c r="H12" s="2"/>
      <c r="I12" s="2"/>
      <c r="J12" s="2"/>
      <c r="K12" s="2"/>
      <c r="L12" s="2"/>
    </row>
    <row r="13" spans="1:15">
      <c r="A13" t="s">
        <v>52</v>
      </c>
      <c r="B13" s="2">
        <f>'IRR inputs &amp; outputs'!B16</f>
        <v>1000</v>
      </c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5">
      <c r="A14" t="s">
        <v>53</v>
      </c>
      <c r="B14" s="2"/>
      <c r="C14" s="2">
        <f>'IRR inputs &amp; outputs'!$B$17</f>
        <v>5000</v>
      </c>
      <c r="D14" s="2">
        <f>'IRR inputs &amp; outputs'!$B$17</f>
        <v>5000</v>
      </c>
      <c r="E14" s="2">
        <f>'IRR inputs &amp; outputs'!$B$17</f>
        <v>5000</v>
      </c>
      <c r="F14" s="2">
        <f>'IRR inputs &amp; outputs'!$B$17</f>
        <v>5000</v>
      </c>
      <c r="G14" s="2">
        <f>'IRR inputs &amp; outputs'!$B$17</f>
        <v>5000</v>
      </c>
      <c r="H14" s="2">
        <f>'IRR inputs &amp; outputs'!$B$17</f>
        <v>5000</v>
      </c>
      <c r="I14" s="2">
        <f>'IRR inputs &amp; outputs'!$B$17</f>
        <v>5000</v>
      </c>
      <c r="J14" s="2">
        <f>'IRR inputs &amp; outputs'!$B$17</f>
        <v>5000</v>
      </c>
      <c r="K14" s="2">
        <f>'IRR inputs &amp; outputs'!$B$17</f>
        <v>5000</v>
      </c>
      <c r="L14" s="2">
        <f>'IRR inputs &amp; outputs'!$B$17</f>
        <v>5000</v>
      </c>
    </row>
    <row r="15" spans="1:15">
      <c r="A15" t="s">
        <v>54</v>
      </c>
      <c r="B15" s="2"/>
      <c r="C15" s="2">
        <f>'IRR inputs &amp; outputs'!B14</f>
        <v>750</v>
      </c>
      <c r="D15" s="2">
        <f>'IRR inputs &amp; outputs'!B14</f>
        <v>750</v>
      </c>
      <c r="E15" s="2">
        <f>'IRR inputs &amp; outputs'!B14</f>
        <v>750</v>
      </c>
      <c r="F15" s="2">
        <f>'IRR inputs &amp; outputs'!B14</f>
        <v>750</v>
      </c>
      <c r="G15" s="2">
        <f>'IRR inputs &amp; outputs'!B14</f>
        <v>750</v>
      </c>
      <c r="H15" s="2">
        <f>'IRR inputs &amp; outputs'!B14</f>
        <v>750</v>
      </c>
      <c r="I15" s="2">
        <f>'IRR inputs &amp; outputs'!B14</f>
        <v>750</v>
      </c>
      <c r="J15" s="2">
        <f>'IRR inputs &amp; outputs'!B14</f>
        <v>750</v>
      </c>
      <c r="K15" s="2">
        <f>'IRR inputs &amp; outputs'!B14</f>
        <v>750</v>
      </c>
      <c r="L15" s="2">
        <f>'IRR inputs &amp; outputs'!B14</f>
        <v>750</v>
      </c>
    </row>
    <row r="16" spans="1:15">
      <c r="A16" t="s">
        <v>55</v>
      </c>
      <c r="B16" s="2"/>
      <c r="C16" s="2">
        <f>(1/'IRR inputs &amp; outputs'!$B$8)*$B$3*'IRR inputs &amp; outputs'!$B$9+'IRR inputs &amp; outputs'!$B$10</f>
        <v>45736.42105263158</v>
      </c>
      <c r="D16" s="2">
        <f>(1/'IRR inputs &amp; outputs'!$B$8)*$B$3*'IRR inputs &amp; outputs'!$B$9+'IRR inputs &amp; outputs'!$B$10</f>
        <v>45736.42105263158</v>
      </c>
      <c r="E16" s="2">
        <f>(1/'IRR inputs &amp; outputs'!$B$8)*$B$3*'IRR inputs &amp; outputs'!$B$9+'IRR inputs &amp; outputs'!$B$10</f>
        <v>45736.42105263158</v>
      </c>
      <c r="F16" s="2">
        <f>(1/'IRR inputs &amp; outputs'!$B$8)*$B$3*'IRR inputs &amp; outputs'!$B$9+'IRR inputs &amp; outputs'!$B$10</f>
        <v>45736.42105263158</v>
      </c>
      <c r="G16" s="2">
        <f>(1/'IRR inputs &amp; outputs'!$B$8)*$B$3*'IRR inputs &amp; outputs'!$B$9+'IRR inputs &amp; outputs'!$B$10</f>
        <v>45736.42105263158</v>
      </c>
      <c r="H16" s="2">
        <f>(1/'IRR inputs &amp; outputs'!$B$8)*$B$3*'IRR inputs &amp; outputs'!$B$9+'IRR inputs &amp; outputs'!$B$10</f>
        <v>45736.42105263158</v>
      </c>
      <c r="I16" s="2">
        <f>(1/'IRR inputs &amp; outputs'!$B$8)*$B$3*'IRR inputs &amp; outputs'!$B$9+'IRR inputs &amp; outputs'!$B$10</f>
        <v>45736.42105263158</v>
      </c>
      <c r="J16" s="2">
        <f>(1/'IRR inputs &amp; outputs'!$B$8)*$B$3*'IRR inputs &amp; outputs'!$B$9+'IRR inputs &amp; outputs'!$B$10</f>
        <v>45736.42105263158</v>
      </c>
      <c r="K16" s="2">
        <f>(1/'IRR inputs &amp; outputs'!$B$8)*$B$3*'IRR inputs &amp; outputs'!$B$9+'IRR inputs &amp; outputs'!$B$10</f>
        <v>45736.42105263158</v>
      </c>
      <c r="L16" s="2">
        <f>(1/'IRR inputs &amp; outputs'!$B$8)*$B$3*'IRR inputs &amp; outputs'!$B$9+'IRR inputs &amp; outputs'!$B$10</f>
        <v>45736.42105263158</v>
      </c>
    </row>
    <row r="17" spans="1:12">
      <c r="A17" t="s">
        <v>56</v>
      </c>
      <c r="B17" s="2"/>
      <c r="C17" s="46">
        <f>'IRR inputs &amp; outputs'!$B$12</f>
        <v>600</v>
      </c>
      <c r="D17" s="2">
        <f>'IRR inputs &amp; outputs'!$B$12</f>
        <v>600</v>
      </c>
      <c r="E17" s="2">
        <f>'IRR inputs &amp; outputs'!$B$12</f>
        <v>600</v>
      </c>
      <c r="F17" s="2">
        <f>'IRR inputs &amp; outputs'!$B$12</f>
        <v>600</v>
      </c>
      <c r="G17" s="2">
        <f>'IRR inputs &amp; outputs'!$B$12</f>
        <v>600</v>
      </c>
      <c r="H17" s="2">
        <f>'IRR inputs &amp; outputs'!$B$12</f>
        <v>600</v>
      </c>
      <c r="I17" s="2">
        <f>'IRR inputs &amp; outputs'!$B$12</f>
        <v>600</v>
      </c>
      <c r="J17" s="2">
        <f>'IRR inputs &amp; outputs'!$B$12</f>
        <v>600</v>
      </c>
      <c r="K17" s="2">
        <f>'IRR inputs &amp; outputs'!$B$12</f>
        <v>600</v>
      </c>
      <c r="L17" s="2">
        <f>'IRR inputs &amp; outputs'!$B$12</f>
        <v>600</v>
      </c>
    </row>
    <row r="18" spans="1:12">
      <c r="A18" t="s">
        <v>57</v>
      </c>
      <c r="B18" s="2"/>
      <c r="C18" s="2">
        <f>$B$3*'IRR inputs &amp; outputs'!$B$11*'IRR inputs &amp; outputs'!$B$13</f>
        <v>8961.48</v>
      </c>
      <c r="D18" s="2">
        <f>$B$3*'IRR inputs &amp; outputs'!$B$11*'IRR inputs &amp; outputs'!$B$13</f>
        <v>8961.48</v>
      </c>
      <c r="E18" s="2">
        <f>$B$3*'IRR inputs &amp; outputs'!$B$11*'IRR inputs &amp; outputs'!$B$13</f>
        <v>8961.48</v>
      </c>
      <c r="F18" s="2">
        <f>$B$3*'IRR inputs &amp; outputs'!$B$11*'IRR inputs &amp; outputs'!$B$13</f>
        <v>8961.48</v>
      </c>
      <c r="G18" s="2">
        <f>$B$3*'IRR inputs &amp; outputs'!$B$11*'IRR inputs &amp; outputs'!$B$13</f>
        <v>8961.48</v>
      </c>
      <c r="H18" s="2">
        <f>$B$3*'IRR inputs &amp; outputs'!$B$11*'IRR inputs &amp; outputs'!$B$13</f>
        <v>8961.48</v>
      </c>
      <c r="I18" s="2">
        <f>$B$3*'IRR inputs &amp; outputs'!$B$11*'IRR inputs &amp; outputs'!$B$13</f>
        <v>8961.48</v>
      </c>
      <c r="J18" s="2">
        <f>$B$3*'IRR inputs &amp; outputs'!$B$11*'IRR inputs &amp; outputs'!$B$13</f>
        <v>8961.48</v>
      </c>
      <c r="K18" s="2">
        <f>$B$3*'IRR inputs &amp; outputs'!$B$11*'IRR inputs &amp; outputs'!$B$13</f>
        <v>8961.48</v>
      </c>
      <c r="L18" s="2">
        <f>$B$3*'IRR inputs &amp; outputs'!$B$11*'IRR inputs &amp; outputs'!$B$13</f>
        <v>8961.48</v>
      </c>
    </row>
    <row r="19" spans="1:12">
      <c r="A19" t="s">
        <v>58</v>
      </c>
      <c r="B19" s="3">
        <f t="shared" ref="B19:L19" si="1">SUM(B12:B18)</f>
        <v>51000</v>
      </c>
      <c r="C19" s="3">
        <f t="shared" si="1"/>
        <v>61047.901052631583</v>
      </c>
      <c r="D19" s="3">
        <f t="shared" si="1"/>
        <v>61047.901052631583</v>
      </c>
      <c r="E19" s="3">
        <f t="shared" si="1"/>
        <v>61047.901052631583</v>
      </c>
      <c r="F19" s="3">
        <f t="shared" si="1"/>
        <v>61047.901052631583</v>
      </c>
      <c r="G19" s="3">
        <f t="shared" si="1"/>
        <v>96047.901052631569</v>
      </c>
      <c r="H19" s="3">
        <f t="shared" si="1"/>
        <v>61047.901052631583</v>
      </c>
      <c r="I19" s="3">
        <f t="shared" si="1"/>
        <v>61047.901052631583</v>
      </c>
      <c r="J19" s="3">
        <f t="shared" si="1"/>
        <v>61047.901052631583</v>
      </c>
      <c r="K19" s="3">
        <f t="shared" si="1"/>
        <v>61047.901052631583</v>
      </c>
      <c r="L19" s="3">
        <f t="shared" si="1"/>
        <v>61047.901052631583</v>
      </c>
    </row>
    <row r="21" spans="1:12">
      <c r="A21" t="s">
        <v>59</v>
      </c>
      <c r="B21" s="3">
        <f t="shared" ref="B21:L21" si="2">B9-B19</f>
        <v>-51000</v>
      </c>
      <c r="C21" s="3">
        <f t="shared" si="2"/>
        <v>58438.498947368425</v>
      </c>
      <c r="D21" s="3">
        <f t="shared" si="2"/>
        <v>58438.498947368425</v>
      </c>
      <c r="E21" s="3">
        <f t="shared" si="2"/>
        <v>58438.498947368425</v>
      </c>
      <c r="F21" s="3">
        <f t="shared" si="2"/>
        <v>58438.498947368425</v>
      </c>
      <c r="G21" s="3">
        <f t="shared" si="2"/>
        <v>23438.49894736844</v>
      </c>
      <c r="H21" s="3">
        <f t="shared" si="2"/>
        <v>58438.498947368425</v>
      </c>
      <c r="I21" s="3">
        <f t="shared" si="2"/>
        <v>58438.498947368425</v>
      </c>
      <c r="J21" s="3">
        <f t="shared" si="2"/>
        <v>58438.498947368425</v>
      </c>
      <c r="K21" s="3">
        <f t="shared" si="2"/>
        <v>58438.498947368425</v>
      </c>
      <c r="L21" s="3">
        <f t="shared" si="2"/>
        <v>58438.498947368425</v>
      </c>
    </row>
    <row r="23" spans="1:12">
      <c r="A23" t="s">
        <v>25</v>
      </c>
      <c r="B23" s="4">
        <f>IFERROR(IRR(B21:L21),NA())</f>
        <v>1.1274968814396522</v>
      </c>
    </row>
    <row r="25" spans="1:12">
      <c r="A25" s="1" t="s">
        <v>60</v>
      </c>
    </row>
    <row r="26" spans="1:12">
      <c r="A26" t="s">
        <v>41</v>
      </c>
      <c r="B26" s="4">
        <v>0.1</v>
      </c>
    </row>
    <row r="27" spans="1:12">
      <c r="A27" t="s">
        <v>61</v>
      </c>
      <c r="B27" s="3">
        <f>$B$12*(1-B26)</f>
        <v>45000</v>
      </c>
    </row>
    <row r="28" spans="1:12">
      <c r="A28" s="4" t="s">
        <v>62</v>
      </c>
      <c r="B28" s="3">
        <f>-B27</f>
        <v>-45000</v>
      </c>
      <c r="C28" s="3">
        <f>$C$21</f>
        <v>58438.498947368425</v>
      </c>
      <c r="D28" s="3">
        <f>$D$21</f>
        <v>58438.498947368425</v>
      </c>
      <c r="E28" s="3">
        <f>$E$21</f>
        <v>58438.498947368425</v>
      </c>
      <c r="F28" s="3">
        <f>$F$21</f>
        <v>58438.498947368425</v>
      </c>
      <c r="G28" s="3">
        <f>$G$21</f>
        <v>23438.49894736844</v>
      </c>
      <c r="H28" s="3">
        <f>$H$21</f>
        <v>58438.498947368425</v>
      </c>
      <c r="I28" s="3">
        <f>$I$21</f>
        <v>58438.498947368425</v>
      </c>
      <c r="J28" s="3">
        <f>$J$21</f>
        <v>58438.498947368425</v>
      </c>
      <c r="K28" s="3">
        <f>$K$21</f>
        <v>58438.498947368425</v>
      </c>
      <c r="L28" s="3">
        <f>$L$21</f>
        <v>58438.498947368425</v>
      </c>
    </row>
    <row r="29" spans="1:12">
      <c r="A29" s="4" t="s">
        <v>25</v>
      </c>
      <c r="B29" s="4">
        <f>IFERROR(IRR(B28:L28),NA())</f>
        <v>1.2821861255696074</v>
      </c>
    </row>
    <row r="30" spans="1:12">
      <c r="A30" s="4"/>
      <c r="B30" s="3"/>
    </row>
    <row r="31" spans="1:12">
      <c r="A31" t="s">
        <v>41</v>
      </c>
      <c r="B31" s="4">
        <v>0.15</v>
      </c>
    </row>
    <row r="32" spans="1:12">
      <c r="A32" t="s">
        <v>61</v>
      </c>
      <c r="B32" s="3">
        <f>$B$12*(1-B31)</f>
        <v>42500</v>
      </c>
    </row>
    <row r="33" spans="1:12">
      <c r="A33" s="4" t="s">
        <v>62</v>
      </c>
      <c r="B33" s="3">
        <f>-B32</f>
        <v>-42500</v>
      </c>
      <c r="C33" s="3">
        <f>$C$21</f>
        <v>58438.498947368425</v>
      </c>
      <c r="D33" s="3">
        <f>$D$21</f>
        <v>58438.498947368425</v>
      </c>
      <c r="E33" s="3">
        <f>$E$21</f>
        <v>58438.498947368425</v>
      </c>
      <c r="F33" s="3">
        <f>$F$21</f>
        <v>58438.498947368425</v>
      </c>
      <c r="G33" s="3">
        <f>$G$21</f>
        <v>23438.49894736844</v>
      </c>
      <c r="H33" s="3">
        <f>$H$21</f>
        <v>58438.498947368425</v>
      </c>
      <c r="I33" s="3">
        <f>$I$21</f>
        <v>58438.498947368425</v>
      </c>
      <c r="J33" s="3">
        <f>$J$21</f>
        <v>58438.498947368425</v>
      </c>
      <c r="K33" s="3">
        <f>$K$21</f>
        <v>58438.498947368425</v>
      </c>
      <c r="L33" s="3">
        <f>$L$21</f>
        <v>58438.498947368425</v>
      </c>
    </row>
    <row r="34" spans="1:12">
      <c r="A34" s="4" t="s">
        <v>25</v>
      </c>
      <c r="B34" s="4">
        <f>IFERROR(IRR(B33:L33),NA())</f>
        <v>1.3594560113531573</v>
      </c>
    </row>
    <row r="35" spans="1:12">
      <c r="A35" s="4"/>
      <c r="B35" s="3"/>
    </row>
    <row r="36" spans="1:12">
      <c r="A36" t="s">
        <v>41</v>
      </c>
      <c r="B36" s="4">
        <v>0.2</v>
      </c>
    </row>
    <row r="37" spans="1:12">
      <c r="A37" t="s">
        <v>61</v>
      </c>
      <c r="B37" s="3">
        <f>$B$12*(1-B36)</f>
        <v>40000</v>
      </c>
    </row>
    <row r="38" spans="1:12">
      <c r="A38" s="4" t="s">
        <v>62</v>
      </c>
      <c r="B38" s="3">
        <f>-B37</f>
        <v>-40000</v>
      </c>
      <c r="C38" s="3">
        <f>$C$21</f>
        <v>58438.498947368425</v>
      </c>
      <c r="D38" s="3">
        <f>$D$21</f>
        <v>58438.498947368425</v>
      </c>
      <c r="E38" s="3">
        <f>$E$21</f>
        <v>58438.498947368425</v>
      </c>
      <c r="F38" s="3">
        <f>$F$21</f>
        <v>58438.498947368425</v>
      </c>
      <c r="G38" s="3">
        <f>$G$21</f>
        <v>23438.49894736844</v>
      </c>
      <c r="H38" s="3">
        <f>$H$21</f>
        <v>58438.498947368425</v>
      </c>
      <c r="I38" s="3">
        <f>$I$21</f>
        <v>58438.498947368425</v>
      </c>
      <c r="J38" s="3">
        <f>$J$21</f>
        <v>58438.498947368425</v>
      </c>
      <c r="K38" s="3">
        <f>$K$21</f>
        <v>58438.498947368425</v>
      </c>
      <c r="L38" s="3">
        <f>$L$21</f>
        <v>58438.498947368425</v>
      </c>
    </row>
    <row r="39" spans="1:12">
      <c r="A39" s="4" t="s">
        <v>25</v>
      </c>
      <c r="B39" s="4">
        <f>IFERROR(IRR(B38:L38),NA())</f>
        <v>1.4463276802713105</v>
      </c>
    </row>
    <row r="41" spans="1:12">
      <c r="A41" t="s">
        <v>41</v>
      </c>
      <c r="B41" s="4">
        <v>0.25</v>
      </c>
    </row>
    <row r="42" spans="1:12">
      <c r="A42" t="s">
        <v>61</v>
      </c>
      <c r="B42" s="3">
        <f>$B$12*(1-B41)</f>
        <v>37500</v>
      </c>
    </row>
    <row r="43" spans="1:12">
      <c r="A43" s="4" t="s">
        <v>62</v>
      </c>
      <c r="B43" s="3">
        <f>-B42</f>
        <v>-37500</v>
      </c>
      <c r="C43" s="3">
        <f>$C$21</f>
        <v>58438.498947368425</v>
      </c>
      <c r="D43" s="3">
        <f>$D$21</f>
        <v>58438.498947368425</v>
      </c>
      <c r="E43" s="3">
        <f>$E$21</f>
        <v>58438.498947368425</v>
      </c>
      <c r="F43" s="3">
        <f>$F$21</f>
        <v>58438.498947368425</v>
      </c>
      <c r="G43" s="3">
        <f>$G$21</f>
        <v>23438.49894736844</v>
      </c>
      <c r="H43" s="3">
        <f>$H$21</f>
        <v>58438.498947368425</v>
      </c>
      <c r="I43" s="3">
        <f>$I$21</f>
        <v>58438.498947368425</v>
      </c>
      <c r="J43" s="3">
        <f>$J$21</f>
        <v>58438.498947368425</v>
      </c>
      <c r="K43" s="3">
        <f>$K$21</f>
        <v>58438.498947368425</v>
      </c>
      <c r="L43" s="3">
        <f>$L$21</f>
        <v>58438.498947368425</v>
      </c>
    </row>
    <row r="44" spans="1:12">
      <c r="A44" s="4" t="s">
        <v>25</v>
      </c>
      <c r="B44" s="4">
        <f>IFERROR(IRR(B43:L43),NA())</f>
        <v>1.5447119979229837</v>
      </c>
    </row>
    <row r="46" spans="1:12">
      <c r="A46" t="s">
        <v>41</v>
      </c>
      <c r="B46" s="4">
        <v>0.3</v>
      </c>
    </row>
    <row r="47" spans="1:12">
      <c r="A47" t="s">
        <v>61</v>
      </c>
      <c r="B47" s="3">
        <f>$B$12*(1-B46)</f>
        <v>35000</v>
      </c>
    </row>
    <row r="48" spans="1:12">
      <c r="A48" s="4" t="s">
        <v>62</v>
      </c>
      <c r="B48" s="3">
        <f>-B47</f>
        <v>-35000</v>
      </c>
      <c r="C48" s="3">
        <f>$C$21</f>
        <v>58438.498947368425</v>
      </c>
      <c r="D48" s="3">
        <f>$D$21</f>
        <v>58438.498947368425</v>
      </c>
      <c r="E48" s="3">
        <f>$E$21</f>
        <v>58438.498947368425</v>
      </c>
      <c r="F48" s="3">
        <f>$F$21</f>
        <v>58438.498947368425</v>
      </c>
      <c r="G48" s="3">
        <f>$G$21</f>
        <v>23438.49894736844</v>
      </c>
      <c r="H48" s="3">
        <f>$H$21</f>
        <v>58438.498947368425</v>
      </c>
      <c r="I48" s="3">
        <f>$I$21</f>
        <v>58438.498947368425</v>
      </c>
      <c r="J48" s="3">
        <f>$J$21</f>
        <v>58438.498947368425</v>
      </c>
      <c r="K48" s="3">
        <f>$K$21</f>
        <v>58438.498947368425</v>
      </c>
      <c r="L48" s="3">
        <f>$L$21</f>
        <v>58438.498947368425</v>
      </c>
    </row>
    <row r="49" spans="1:12">
      <c r="A49" s="4" t="s">
        <v>25</v>
      </c>
      <c r="B49" s="4">
        <f>IFERROR(IRR(B48:L48),NA())</f>
        <v>1.6570641352585214</v>
      </c>
    </row>
    <row r="51" spans="1:12">
      <c r="A51" t="s">
        <v>41</v>
      </c>
      <c r="B51" s="4">
        <v>0.35</v>
      </c>
    </row>
    <row r="52" spans="1:12">
      <c r="A52" t="s">
        <v>61</v>
      </c>
      <c r="B52" s="3">
        <f>$B$12*(1-B51)</f>
        <v>32500</v>
      </c>
    </row>
    <row r="53" spans="1:12">
      <c r="A53" s="4" t="s">
        <v>62</v>
      </c>
      <c r="B53" s="3">
        <f>-B52</f>
        <v>-32500</v>
      </c>
      <c r="C53" s="3">
        <f>$C$21</f>
        <v>58438.498947368425</v>
      </c>
      <c r="D53" s="3">
        <f>$D$21</f>
        <v>58438.498947368425</v>
      </c>
      <c r="E53" s="3">
        <f>$E$21</f>
        <v>58438.498947368425</v>
      </c>
      <c r="F53" s="3">
        <f>$F$21</f>
        <v>58438.498947368425</v>
      </c>
      <c r="G53" s="3">
        <f>$G$21</f>
        <v>23438.49894736844</v>
      </c>
      <c r="H53" s="3">
        <f>$H$21</f>
        <v>58438.498947368425</v>
      </c>
      <c r="I53" s="3">
        <f>$I$21</f>
        <v>58438.498947368425</v>
      </c>
      <c r="J53" s="3">
        <f>$J$21</f>
        <v>58438.498947368425</v>
      </c>
      <c r="K53" s="3">
        <f>$K$21</f>
        <v>58438.498947368425</v>
      </c>
      <c r="L53" s="3">
        <f>$L$21</f>
        <v>58438.498947368425</v>
      </c>
    </row>
    <row r="54" spans="1:12">
      <c r="A54" s="4" t="s">
        <v>25</v>
      </c>
      <c r="B54" s="4">
        <f>IFERROR(IRR(B53:L53),NA())</f>
        <v>1.7865929898684136</v>
      </c>
    </row>
    <row r="56" spans="1:12">
      <c r="A56" t="s">
        <v>41</v>
      </c>
      <c r="B56" s="4">
        <v>0.4</v>
      </c>
    </row>
    <row r="57" spans="1:12">
      <c r="A57" t="s">
        <v>61</v>
      </c>
      <c r="B57" s="3">
        <f>$B$12*(1-B56)</f>
        <v>30000</v>
      </c>
    </row>
    <row r="58" spans="1:12">
      <c r="A58" s="4" t="s">
        <v>62</v>
      </c>
      <c r="B58" s="3">
        <f>-B57</f>
        <v>-30000</v>
      </c>
      <c r="C58" s="3">
        <f>$C$21</f>
        <v>58438.498947368425</v>
      </c>
      <c r="D58" s="3">
        <f>$D$21</f>
        <v>58438.498947368425</v>
      </c>
      <c r="E58" s="3">
        <f>$E$21</f>
        <v>58438.498947368425</v>
      </c>
      <c r="F58" s="3">
        <f>$F$21</f>
        <v>58438.498947368425</v>
      </c>
      <c r="G58" s="3">
        <f>$G$21</f>
        <v>23438.49894736844</v>
      </c>
      <c r="H58" s="3">
        <f>$H$21</f>
        <v>58438.498947368425</v>
      </c>
      <c r="I58" s="3">
        <f>$I$21</f>
        <v>58438.498947368425</v>
      </c>
      <c r="J58" s="3">
        <f>$J$21</f>
        <v>58438.498947368425</v>
      </c>
      <c r="K58" s="3">
        <f>$K$21</f>
        <v>58438.498947368425</v>
      </c>
      <c r="L58" s="3">
        <f>$L$21</f>
        <v>58438.498947368425</v>
      </c>
    </row>
    <row r="59" spans="1:12">
      <c r="A59" s="4" t="s">
        <v>25</v>
      </c>
      <c r="B59" s="4">
        <f>IFERROR(IRR(B58:L58),NA())</f>
        <v>1.937575451191401</v>
      </c>
    </row>
    <row r="61" spans="1:12">
      <c r="A61" t="s">
        <v>41</v>
      </c>
      <c r="B61" s="4">
        <v>0.45</v>
      </c>
    </row>
    <row r="62" spans="1:12">
      <c r="A62" t="s">
        <v>61</v>
      </c>
      <c r="B62" s="3">
        <f>$B$12*(1-B61)</f>
        <v>27500.000000000004</v>
      </c>
    </row>
    <row r="63" spans="1:12">
      <c r="A63" s="4" t="s">
        <v>62</v>
      </c>
      <c r="B63" s="3">
        <f>-B62</f>
        <v>-27500.000000000004</v>
      </c>
      <c r="C63" s="3">
        <f>$C$21</f>
        <v>58438.498947368425</v>
      </c>
      <c r="D63" s="3">
        <f>$D$21</f>
        <v>58438.498947368425</v>
      </c>
      <c r="E63" s="3">
        <f>$E$21</f>
        <v>58438.498947368425</v>
      </c>
      <c r="F63" s="3">
        <f>$F$21</f>
        <v>58438.498947368425</v>
      </c>
      <c r="G63" s="3">
        <f>$G$21</f>
        <v>23438.49894736844</v>
      </c>
      <c r="H63" s="3">
        <f>$H$21</f>
        <v>58438.498947368425</v>
      </c>
      <c r="I63" s="3">
        <f>$I$21</f>
        <v>58438.498947368425</v>
      </c>
      <c r="J63" s="3">
        <f>$J$21</f>
        <v>58438.498947368425</v>
      </c>
      <c r="K63" s="3">
        <f>$K$21</f>
        <v>58438.498947368425</v>
      </c>
      <c r="L63" s="3">
        <f>$L$21</f>
        <v>58438.498947368425</v>
      </c>
    </row>
    <row r="64" spans="1:12">
      <c r="A64" s="4" t="s">
        <v>25</v>
      </c>
      <c r="B64" s="4">
        <f>IFERROR(IRR(B63:L63),NA())</f>
        <v>2.1158422787016313</v>
      </c>
    </row>
    <row r="66" spans="1:12">
      <c r="A66" t="s">
        <v>41</v>
      </c>
      <c r="B66" s="4">
        <v>0.5</v>
      </c>
    </row>
    <row r="67" spans="1:12">
      <c r="A67" t="s">
        <v>61</v>
      </c>
      <c r="B67" s="3">
        <f>$B$12*(1-B66)</f>
        <v>25000</v>
      </c>
    </row>
    <row r="68" spans="1:12">
      <c r="A68" s="4" t="s">
        <v>62</v>
      </c>
      <c r="B68" s="3">
        <f>-B67</f>
        <v>-25000</v>
      </c>
      <c r="C68" s="3">
        <f>$C$21</f>
        <v>58438.498947368425</v>
      </c>
      <c r="D68" s="3">
        <f>$D$21</f>
        <v>58438.498947368425</v>
      </c>
      <c r="E68" s="3">
        <f>$E$21</f>
        <v>58438.498947368425</v>
      </c>
      <c r="F68" s="3">
        <f>$F$21</f>
        <v>58438.498947368425</v>
      </c>
      <c r="G68" s="3">
        <f>$G$21</f>
        <v>23438.49894736844</v>
      </c>
      <c r="H68" s="3">
        <f>$H$21</f>
        <v>58438.498947368425</v>
      </c>
      <c r="I68" s="3">
        <f>$I$21</f>
        <v>58438.498947368425</v>
      </c>
      <c r="J68" s="3">
        <f>$J$21</f>
        <v>58438.498947368425</v>
      </c>
      <c r="K68" s="3">
        <f>$K$21</f>
        <v>58438.498947368425</v>
      </c>
      <c r="L68" s="3">
        <f>$L$21</f>
        <v>58438.498947368425</v>
      </c>
    </row>
    <row r="69" spans="1:12">
      <c r="A69" s="4" t="s">
        <v>25</v>
      </c>
      <c r="B69" s="4">
        <f>IFERROR(IRR(B68:L68),NA())</f>
        <v>2.3295557892818839</v>
      </c>
    </row>
    <row r="71" spans="1:12">
      <c r="A71" t="s">
        <v>41</v>
      </c>
      <c r="B71" s="4">
        <v>0.55000000000000004</v>
      </c>
    </row>
    <row r="72" spans="1:12">
      <c r="A72" t="s">
        <v>61</v>
      </c>
      <c r="B72" s="3">
        <f>$B$12*(1-B71)</f>
        <v>22499.999999999996</v>
      </c>
    </row>
    <row r="73" spans="1:12">
      <c r="A73" s="4" t="s">
        <v>62</v>
      </c>
      <c r="B73" s="3">
        <f>-B72</f>
        <v>-22499.999999999996</v>
      </c>
      <c r="C73" s="3">
        <f>$C$21</f>
        <v>58438.498947368425</v>
      </c>
      <c r="D73" s="3">
        <f>$D$21</f>
        <v>58438.498947368425</v>
      </c>
      <c r="E73" s="3">
        <f>$E$21</f>
        <v>58438.498947368425</v>
      </c>
      <c r="F73" s="3">
        <f>$F$21</f>
        <v>58438.498947368425</v>
      </c>
      <c r="G73" s="3">
        <f>$G$21</f>
        <v>23438.49894736844</v>
      </c>
      <c r="H73" s="3">
        <f>$H$21</f>
        <v>58438.498947368425</v>
      </c>
      <c r="I73" s="3">
        <f>$I$21</f>
        <v>58438.498947368425</v>
      </c>
      <c r="J73" s="3">
        <f>$J$21</f>
        <v>58438.498947368425</v>
      </c>
      <c r="K73" s="3">
        <f>$K$21</f>
        <v>58438.498947368425</v>
      </c>
      <c r="L73" s="3">
        <f>$L$21</f>
        <v>58438.498947368425</v>
      </c>
    </row>
    <row r="74" spans="1:12">
      <c r="A74" s="4" t="s">
        <v>25</v>
      </c>
      <c r="B74" s="4">
        <f>IFERROR(IRR(B73:L73),NA())</f>
        <v>2.5905064050102222</v>
      </c>
    </row>
    <row r="76" spans="1:12">
      <c r="A76" t="s">
        <v>41</v>
      </c>
      <c r="B76" s="4">
        <v>0.6</v>
      </c>
    </row>
    <row r="77" spans="1:12">
      <c r="A77" t="s">
        <v>61</v>
      </c>
      <c r="B77" s="3">
        <f>$B$12*(1-B76)</f>
        <v>20000</v>
      </c>
    </row>
    <row r="78" spans="1:12">
      <c r="A78" s="4" t="s">
        <v>62</v>
      </c>
      <c r="B78" s="3">
        <f>-B77</f>
        <v>-20000</v>
      </c>
      <c r="C78" s="3">
        <f>$C$21</f>
        <v>58438.498947368425</v>
      </c>
      <c r="D78" s="3">
        <f>$D$21</f>
        <v>58438.498947368425</v>
      </c>
      <c r="E78" s="3">
        <f>$E$21</f>
        <v>58438.498947368425</v>
      </c>
      <c r="F78" s="3">
        <f>$F$21</f>
        <v>58438.498947368425</v>
      </c>
      <c r="G78" s="3">
        <f>$G$21</f>
        <v>23438.49894736844</v>
      </c>
      <c r="H78" s="3">
        <f>$H$21</f>
        <v>58438.498947368425</v>
      </c>
      <c r="I78" s="3">
        <f>$I$21</f>
        <v>58438.498947368425</v>
      </c>
      <c r="J78" s="3">
        <f>$J$21</f>
        <v>58438.498947368425</v>
      </c>
      <c r="K78" s="3">
        <f>$K$21</f>
        <v>58438.498947368425</v>
      </c>
      <c r="L78" s="3">
        <f>$L$21</f>
        <v>58438.498947368425</v>
      </c>
    </row>
    <row r="79" spans="1:12">
      <c r="A79" s="4" t="s">
        <v>25</v>
      </c>
      <c r="B79" s="4">
        <f>IFERROR(IRR(B78:L78),NA())</f>
        <v>2.916382176348888</v>
      </c>
    </row>
    <row r="81" spans="1:12">
      <c r="A81" t="s">
        <v>41</v>
      </c>
      <c r="B81" s="4">
        <v>0.65</v>
      </c>
    </row>
    <row r="82" spans="1:12">
      <c r="A82" t="s">
        <v>61</v>
      </c>
      <c r="B82" s="3">
        <f>$B$12*(1-B81)</f>
        <v>17500</v>
      </c>
    </row>
    <row r="83" spans="1:12">
      <c r="A83" s="4" t="s">
        <v>62</v>
      </c>
      <c r="B83" s="3">
        <f>-B82</f>
        <v>-17500</v>
      </c>
      <c r="C83" s="3">
        <f>$C$21</f>
        <v>58438.498947368425</v>
      </c>
      <c r="D83" s="3">
        <f>$D$21</f>
        <v>58438.498947368425</v>
      </c>
      <c r="E83" s="3">
        <f>$E$21</f>
        <v>58438.498947368425</v>
      </c>
      <c r="F83" s="3">
        <f>$F$21</f>
        <v>58438.498947368425</v>
      </c>
      <c r="G83" s="3">
        <f>$G$21</f>
        <v>23438.49894736844</v>
      </c>
      <c r="H83" s="3">
        <f>$H$21</f>
        <v>58438.498947368425</v>
      </c>
      <c r="I83" s="3">
        <f>$I$21</f>
        <v>58438.498947368425</v>
      </c>
      <c r="J83" s="3">
        <f>$J$21</f>
        <v>58438.498947368425</v>
      </c>
      <c r="K83" s="3">
        <f>$K$21</f>
        <v>58438.498947368425</v>
      </c>
      <c r="L83" s="3">
        <f>$L$21</f>
        <v>58438.498947368425</v>
      </c>
    </row>
    <row r="84" spans="1:12">
      <c r="A84" s="4" t="s">
        <v>25</v>
      </c>
      <c r="B84" s="4">
        <f>IFERROR(IRR(B83:L83),NA())</f>
        <v>3.334984386608161</v>
      </c>
    </row>
    <row r="86" spans="1:12">
      <c r="A86" t="s">
        <v>41</v>
      </c>
      <c r="B86" s="4">
        <v>0.7</v>
      </c>
    </row>
    <row r="87" spans="1:12">
      <c r="A87" t="s">
        <v>61</v>
      </c>
      <c r="B87" s="3">
        <f>$B$12*(1-B86)</f>
        <v>15000.000000000002</v>
      </c>
    </row>
    <row r="88" spans="1:12">
      <c r="A88" s="4" t="s">
        <v>62</v>
      </c>
      <c r="B88" s="3">
        <f>-B87</f>
        <v>-15000.000000000002</v>
      </c>
      <c r="C88" s="3">
        <f>$C$21</f>
        <v>58438.498947368425</v>
      </c>
      <c r="D88" s="3">
        <f>$D$21</f>
        <v>58438.498947368425</v>
      </c>
      <c r="E88" s="3">
        <f>$E$21</f>
        <v>58438.498947368425</v>
      </c>
      <c r="F88" s="3">
        <f>$F$21</f>
        <v>58438.498947368425</v>
      </c>
      <c r="G88" s="3">
        <f>$G$21</f>
        <v>23438.49894736844</v>
      </c>
      <c r="H88" s="3">
        <f>$H$21</f>
        <v>58438.498947368425</v>
      </c>
      <c r="I88" s="3">
        <f>$I$21</f>
        <v>58438.498947368425</v>
      </c>
      <c r="J88" s="3">
        <f>$J$21</f>
        <v>58438.498947368425</v>
      </c>
      <c r="K88" s="3">
        <f>$K$21</f>
        <v>58438.498947368425</v>
      </c>
      <c r="L88" s="3">
        <f>$L$21</f>
        <v>58438.498947368425</v>
      </c>
    </row>
    <row r="89" spans="1:12">
      <c r="A89" s="4" t="s">
        <v>25</v>
      </c>
      <c r="B89" s="4">
        <f>IFERROR(IRR(B88:L88),NA())</f>
        <v>3.8926597838067023</v>
      </c>
    </row>
    <row r="91" spans="1:12">
      <c r="A91" t="s">
        <v>41</v>
      </c>
      <c r="B91" s="4">
        <v>0.75</v>
      </c>
    </row>
    <row r="92" spans="1:12">
      <c r="A92" t="s">
        <v>61</v>
      </c>
      <c r="B92" s="3">
        <f>$B$12*(1-B91)</f>
        <v>12500</v>
      </c>
    </row>
    <row r="93" spans="1:12">
      <c r="A93" s="4" t="s">
        <v>62</v>
      </c>
      <c r="B93" s="3">
        <f>-B92</f>
        <v>-12500</v>
      </c>
      <c r="C93" s="3">
        <f>$C$21</f>
        <v>58438.498947368425</v>
      </c>
      <c r="D93" s="3">
        <f>$D$21</f>
        <v>58438.498947368425</v>
      </c>
      <c r="E93" s="3">
        <f>$E$21</f>
        <v>58438.498947368425</v>
      </c>
      <c r="F93" s="3">
        <f>$F$21</f>
        <v>58438.498947368425</v>
      </c>
      <c r="G93" s="3">
        <f>$G$21</f>
        <v>23438.49894736844</v>
      </c>
      <c r="H93" s="3">
        <f>$H$21</f>
        <v>58438.498947368425</v>
      </c>
      <c r="I93" s="3">
        <f>$I$21</f>
        <v>58438.498947368425</v>
      </c>
      <c r="J93" s="3">
        <f>$J$21</f>
        <v>58438.498947368425</v>
      </c>
      <c r="K93" s="3">
        <f>$K$21</f>
        <v>58438.498947368425</v>
      </c>
      <c r="L93" s="3">
        <f>$L$21</f>
        <v>58438.498947368425</v>
      </c>
    </row>
    <row r="94" spans="1:12">
      <c r="A94" s="4" t="s">
        <v>25</v>
      </c>
      <c r="B94" s="4">
        <f>IFERROR(IRR(B93:L93),NA())</f>
        <v>4.6728527169290075</v>
      </c>
    </row>
    <row r="96" spans="1:12">
      <c r="A96" t="s">
        <v>41</v>
      </c>
      <c r="B96" s="4">
        <v>0.8</v>
      </c>
    </row>
    <row r="97" spans="1:12">
      <c r="A97" t="s">
        <v>61</v>
      </c>
      <c r="B97" s="3">
        <f>$B$12*(1-B96)</f>
        <v>9999.9999999999982</v>
      </c>
    </row>
    <row r="98" spans="1:12">
      <c r="A98" s="4" t="s">
        <v>62</v>
      </c>
      <c r="B98" s="3">
        <f>-B97</f>
        <v>-9999.9999999999982</v>
      </c>
      <c r="C98" s="3">
        <f>$C$21</f>
        <v>58438.498947368425</v>
      </c>
      <c r="D98" s="3">
        <f>$D$21</f>
        <v>58438.498947368425</v>
      </c>
      <c r="E98" s="3">
        <f>$E$21</f>
        <v>58438.498947368425</v>
      </c>
      <c r="F98" s="3">
        <f>$F$21</f>
        <v>58438.498947368425</v>
      </c>
      <c r="G98" s="3">
        <f>$G$21</f>
        <v>23438.49894736844</v>
      </c>
      <c r="H98" s="3">
        <f>$H$21</f>
        <v>58438.498947368425</v>
      </c>
      <c r="I98" s="3">
        <f>$I$21</f>
        <v>58438.498947368425</v>
      </c>
      <c r="J98" s="3">
        <f>$J$21</f>
        <v>58438.498947368425</v>
      </c>
      <c r="K98" s="3">
        <f>$K$21</f>
        <v>58438.498947368425</v>
      </c>
      <c r="L98" s="3">
        <f>$L$21</f>
        <v>58438.498947368425</v>
      </c>
    </row>
    <row r="99" spans="1:12">
      <c r="A99" s="4" t="s">
        <v>25</v>
      </c>
      <c r="B99" s="4">
        <f>IFERROR(IRR(B98:L98),NA())</f>
        <v>5.8424865544222104</v>
      </c>
    </row>
    <row r="101" spans="1:12">
      <c r="A101" t="s">
        <v>41</v>
      </c>
      <c r="B101" s="4">
        <v>0.85</v>
      </c>
    </row>
    <row r="102" spans="1:12">
      <c r="A102" t="s">
        <v>61</v>
      </c>
      <c r="B102" s="3">
        <f>$B$12*(1-B101)</f>
        <v>7500.0000000000009</v>
      </c>
    </row>
    <row r="103" spans="1:12">
      <c r="A103" s="4" t="s">
        <v>62</v>
      </c>
      <c r="B103" s="3">
        <f>-B102</f>
        <v>-7500.0000000000009</v>
      </c>
      <c r="C103" s="3">
        <f>$C$21</f>
        <v>58438.498947368425</v>
      </c>
      <c r="D103" s="3">
        <f>$D$21</f>
        <v>58438.498947368425</v>
      </c>
      <c r="E103" s="3">
        <f>$E$21</f>
        <v>58438.498947368425</v>
      </c>
      <c r="F103" s="3">
        <f>$F$21</f>
        <v>58438.498947368425</v>
      </c>
      <c r="G103" s="3">
        <f>$G$21</f>
        <v>23438.49894736844</v>
      </c>
      <c r="H103" s="3">
        <f>$H$21</f>
        <v>58438.498947368425</v>
      </c>
      <c r="I103" s="3">
        <f>$I$21</f>
        <v>58438.498947368425</v>
      </c>
      <c r="J103" s="3">
        <f>$J$21</f>
        <v>58438.498947368425</v>
      </c>
      <c r="K103" s="3">
        <f>$K$21</f>
        <v>58438.498947368425</v>
      </c>
      <c r="L103" s="3">
        <f>$L$21</f>
        <v>58438.498947368425</v>
      </c>
    </row>
    <row r="104" spans="1:12">
      <c r="A104" s="4" t="s">
        <v>25</v>
      </c>
      <c r="B104" s="4">
        <f>IFERROR(IRR(B103:L103),NA())</f>
        <v>7.7911074074225759</v>
      </c>
    </row>
    <row r="106" spans="1:12">
      <c r="A106" t="s">
        <v>41</v>
      </c>
      <c r="B106" s="4">
        <v>0.9</v>
      </c>
    </row>
    <row r="107" spans="1:12">
      <c r="A107" t="s">
        <v>61</v>
      </c>
      <c r="B107" s="3">
        <f>$B$12*(1-B106)</f>
        <v>4999.9999999999991</v>
      </c>
    </row>
    <row r="108" spans="1:12">
      <c r="A108" s="4" t="s">
        <v>62</v>
      </c>
      <c r="B108" s="3">
        <f>-B107</f>
        <v>-4999.9999999999991</v>
      </c>
      <c r="C108" s="3">
        <f>$C$21</f>
        <v>58438.498947368425</v>
      </c>
      <c r="D108" s="3">
        <f>$D$21</f>
        <v>58438.498947368425</v>
      </c>
      <c r="E108" s="3">
        <f>$E$21</f>
        <v>58438.498947368425</v>
      </c>
      <c r="F108" s="3">
        <f>$F$21</f>
        <v>58438.498947368425</v>
      </c>
      <c r="G108" s="3">
        <f>$G$21</f>
        <v>23438.49894736844</v>
      </c>
      <c r="H108" s="3">
        <f>$H$21</f>
        <v>58438.498947368425</v>
      </c>
      <c r="I108" s="3">
        <f>$I$21</f>
        <v>58438.498947368425</v>
      </c>
      <c r="J108" s="3">
        <f>$J$21</f>
        <v>58438.498947368425</v>
      </c>
      <c r="K108" s="3">
        <f>$K$21</f>
        <v>58438.498947368425</v>
      </c>
      <c r="L108" s="3">
        <f>$L$21</f>
        <v>58438.498947368425</v>
      </c>
    </row>
    <row r="109" spans="1:12">
      <c r="A109" s="4" t="s">
        <v>25</v>
      </c>
      <c r="B109" s="4">
        <f>IFERROR(IRR(B108:L108),NA())</f>
        <v>11.687450934574834</v>
      </c>
    </row>
    <row r="111" spans="1:12">
      <c r="A111" t="s">
        <v>41</v>
      </c>
      <c r="B111" s="4">
        <v>0.95</v>
      </c>
    </row>
    <row r="112" spans="1:12">
      <c r="A112" t="s">
        <v>61</v>
      </c>
      <c r="B112" s="3">
        <f>$B$12*(1-B111)</f>
        <v>2500.0000000000023</v>
      </c>
    </row>
    <row r="113" spans="1:20">
      <c r="A113" s="4" t="s">
        <v>62</v>
      </c>
      <c r="B113" s="3">
        <f>-B112</f>
        <v>-2500.0000000000023</v>
      </c>
      <c r="C113" s="3">
        <f>$C$21</f>
        <v>58438.498947368425</v>
      </c>
      <c r="D113" s="3">
        <f>$D$21</f>
        <v>58438.498947368425</v>
      </c>
      <c r="E113" s="3">
        <f>$E$21</f>
        <v>58438.498947368425</v>
      </c>
      <c r="F113" s="3">
        <f>$F$21</f>
        <v>58438.498947368425</v>
      </c>
      <c r="G113" s="3">
        <f>$G$21</f>
        <v>23438.49894736844</v>
      </c>
      <c r="H113" s="3">
        <f>$H$21</f>
        <v>58438.498947368425</v>
      </c>
      <c r="I113" s="3">
        <f>$I$21</f>
        <v>58438.498947368425</v>
      </c>
      <c r="J113" s="3">
        <f>$J$21</f>
        <v>58438.498947368425</v>
      </c>
      <c r="K113" s="3">
        <f>$K$21</f>
        <v>58438.498947368425</v>
      </c>
      <c r="L113" s="3">
        <f>$L$21</f>
        <v>58438.498947368425</v>
      </c>
    </row>
    <row r="114" spans="1:20">
      <c r="A114" s="4" t="s">
        <v>25</v>
      </c>
      <c r="B114" s="4">
        <f>IFERROR(IRR(B113:L113),NA())</f>
        <v>23.375361548178265</v>
      </c>
    </row>
    <row r="116" spans="1:20">
      <c r="A116" t="s">
        <v>41</v>
      </c>
      <c r="B116" s="4">
        <v>1</v>
      </c>
    </row>
    <row r="117" spans="1:20">
      <c r="A117" t="s">
        <v>61</v>
      </c>
      <c r="B117" s="3">
        <f>$B$12*(1-B116)</f>
        <v>0</v>
      </c>
    </row>
    <row r="118" spans="1:20">
      <c r="A118" s="4" t="s">
        <v>62</v>
      </c>
      <c r="B118" s="3">
        <f>-B117</f>
        <v>0</v>
      </c>
      <c r="C118" s="3">
        <f>$C$21</f>
        <v>58438.498947368425</v>
      </c>
      <c r="D118" s="3">
        <f>$D$21</f>
        <v>58438.498947368425</v>
      </c>
      <c r="E118" s="3">
        <f>$E$21</f>
        <v>58438.498947368425</v>
      </c>
      <c r="F118" s="3">
        <f>$F$21</f>
        <v>58438.498947368425</v>
      </c>
      <c r="G118" s="3">
        <f>$G$21</f>
        <v>23438.49894736844</v>
      </c>
      <c r="H118" s="3">
        <f>$H$21</f>
        <v>58438.498947368425</v>
      </c>
      <c r="I118" s="3">
        <f>$I$21</f>
        <v>58438.498947368425</v>
      </c>
      <c r="J118" s="3">
        <f>$J$21</f>
        <v>58438.498947368425</v>
      </c>
      <c r="K118" s="3">
        <f>$K$21</f>
        <v>58438.498947368425</v>
      </c>
      <c r="L118" s="3">
        <f>$L$21</f>
        <v>58438.498947368425</v>
      </c>
    </row>
    <row r="119" spans="1:20">
      <c r="A119" s="4" t="s">
        <v>25</v>
      </c>
      <c r="B119" s="4" t="e">
        <f>IFERROR(IRR(B118:L118),NA())</f>
        <v>#N/A</v>
      </c>
    </row>
    <row r="122" spans="1:20">
      <c r="A122" t="s">
        <v>63</v>
      </c>
    </row>
    <row r="123" spans="1:20">
      <c r="B123" s="4">
        <v>0.1</v>
      </c>
      <c r="C123" s="4">
        <v>0.15</v>
      </c>
      <c r="D123" s="4">
        <v>0.2</v>
      </c>
      <c r="E123" s="4">
        <v>0.25</v>
      </c>
      <c r="F123" s="4">
        <v>0.3</v>
      </c>
      <c r="G123" s="4">
        <v>0.35</v>
      </c>
      <c r="H123" s="4">
        <v>0.4</v>
      </c>
      <c r="I123" s="4">
        <v>0.45</v>
      </c>
      <c r="J123" s="4">
        <v>0.5</v>
      </c>
      <c r="K123" s="4">
        <v>0.55000000000000004</v>
      </c>
      <c r="L123" s="4">
        <v>0.6</v>
      </c>
      <c r="M123" s="4">
        <v>0.65</v>
      </c>
      <c r="N123" s="4">
        <v>0.7</v>
      </c>
      <c r="O123" s="4">
        <v>0.75</v>
      </c>
      <c r="P123" s="4">
        <v>0.8</v>
      </c>
      <c r="Q123" s="4">
        <v>0.85</v>
      </c>
      <c r="R123" s="4">
        <v>0.9</v>
      </c>
      <c r="S123" s="4">
        <v>0.95</v>
      </c>
      <c r="T123" s="4">
        <v>1</v>
      </c>
    </row>
    <row r="124" spans="1:20">
      <c r="B124" s="4">
        <f>B29</f>
        <v>1.2821861255696074</v>
      </c>
      <c r="C124" s="4">
        <f>B34</f>
        <v>1.3594560113531573</v>
      </c>
      <c r="D124" s="4">
        <f>B39</f>
        <v>1.4463276802713105</v>
      </c>
      <c r="E124" s="4">
        <f>B44</f>
        <v>1.5447119979229837</v>
      </c>
      <c r="F124" s="4">
        <f>B49</f>
        <v>1.6570641352585214</v>
      </c>
      <c r="G124" s="4">
        <f>B54</f>
        <v>1.7865929898684136</v>
      </c>
      <c r="H124" s="4">
        <f>B59</f>
        <v>1.937575451191401</v>
      </c>
      <c r="I124" s="4">
        <f>B64</f>
        <v>2.1158422787016313</v>
      </c>
      <c r="J124" s="4">
        <f>B69</f>
        <v>2.3295557892818839</v>
      </c>
      <c r="K124" s="4">
        <f>B74</f>
        <v>2.5905064050102222</v>
      </c>
      <c r="L124" s="4">
        <f>B79</f>
        <v>2.916382176348888</v>
      </c>
      <c r="M124" s="4">
        <f>B84</f>
        <v>3.334984386608161</v>
      </c>
      <c r="N124" s="4">
        <f>B89</f>
        <v>3.8926597838067023</v>
      </c>
      <c r="O124" s="4">
        <f>B94</f>
        <v>4.6728527169290075</v>
      </c>
      <c r="P124" s="4">
        <f>B99</f>
        <v>5.8424865544222104</v>
      </c>
      <c r="Q124" s="4">
        <f>B104</f>
        <v>7.7911074074225759</v>
      </c>
      <c r="R124" s="4">
        <f>B109</f>
        <v>11.687450934574834</v>
      </c>
      <c r="S124" s="4">
        <f>B114</f>
        <v>23.375361548178265</v>
      </c>
      <c r="T124" s="4" t="e">
        <f>B119</f>
        <v>#N/A</v>
      </c>
    </row>
    <row r="125" spans="1:20">
      <c r="A125" t="s">
        <v>64</v>
      </c>
      <c r="B125" s="4" t="e">
        <f>LOOKUP('IRR inputs &amp; outputs'!B18, B124:P124, B123:P123)</f>
        <v>#N/A</v>
      </c>
    </row>
    <row r="126" spans="1:20">
      <c r="A126" t="s">
        <v>65</v>
      </c>
      <c r="B126" s="4" t="e">
        <f>LOOKUP('IRR inputs &amp; outputs'!B19, B124:P124, B123:P123)</f>
        <v>#N/A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9AD6D67C59D4FBD512C3238A0741A" ma:contentTypeVersion="10" ma:contentTypeDescription="Create a new document." ma:contentTypeScope="" ma:versionID="9ea1e06bc53946979acaf442985eec99">
  <xsd:schema xmlns:xsd="http://www.w3.org/2001/XMLSchema" xmlns:xs="http://www.w3.org/2001/XMLSchema" xmlns:p="http://schemas.microsoft.com/office/2006/metadata/properties" xmlns:ns2="6513c387-3001-45ed-8b3d-01bcd9f9e9a5" xmlns:ns3="1f55772e-aca1-4d1d-8604-2b24c6b07dc0" targetNamespace="http://schemas.microsoft.com/office/2006/metadata/properties" ma:root="true" ma:fieldsID="6c15d72493b065bd27974a15cd3ea905" ns2:_="" ns3:_="">
    <xsd:import namespace="6513c387-3001-45ed-8b3d-01bcd9f9e9a5"/>
    <xsd:import namespace="1f55772e-aca1-4d1d-8604-2b24c6b07dc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13c387-3001-45ed-8b3d-01bcd9f9e9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b026aac-6b52-4d7e-a64d-f3ee90946f5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55772e-aca1-4d1d-8604-2b24c6b07dc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fdaf079-74e5-4bcc-b4ba-5e00459e73a2}" ma:internalName="TaxCatchAll" ma:showField="CatchAllData" ma:web="1f55772e-aca1-4d1d-8604-2b24c6b07dc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513c387-3001-45ed-8b3d-01bcd9f9e9a5">
      <Terms xmlns="http://schemas.microsoft.com/office/infopath/2007/PartnerControls"/>
    </lcf76f155ced4ddcb4097134ff3c332f>
    <TaxCatchAll xmlns="1f55772e-aca1-4d1d-8604-2b24c6b07dc0" xsi:nil="true"/>
  </documentManagement>
</p:properties>
</file>

<file path=customXml/itemProps1.xml><?xml version="1.0" encoding="utf-8"?>
<ds:datastoreItem xmlns:ds="http://schemas.openxmlformats.org/officeDocument/2006/customXml" ds:itemID="{5460B2C0-9353-42AC-BFE4-04B779153833}"/>
</file>

<file path=customXml/itemProps2.xml><?xml version="1.0" encoding="utf-8"?>
<ds:datastoreItem xmlns:ds="http://schemas.openxmlformats.org/officeDocument/2006/customXml" ds:itemID="{CA00D08F-0C37-4856-8DD0-A7F20D0C4FB9}"/>
</file>

<file path=customXml/itemProps3.xml><?xml version="1.0" encoding="utf-8"?>
<ds:datastoreItem xmlns:ds="http://schemas.openxmlformats.org/officeDocument/2006/customXml" ds:itemID="{3AA738EA-AD93-4004-A6D9-C5099791F19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Sturmberg</dc:creator>
  <cp:keywords/>
  <dc:description/>
  <cp:lastModifiedBy>Bjorn Sturmberg</cp:lastModifiedBy>
  <cp:revision/>
  <dcterms:created xsi:type="dcterms:W3CDTF">2015-06-05T18:17:20Z</dcterms:created>
  <dcterms:modified xsi:type="dcterms:W3CDTF">2026-04-30T11:27:48Z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0x0101000B59AD6D67C59D4FBD512C3238A0741A</vt:lpwstr>
  </property>
  <property fmtid="{D5CDD505-2E9C-101B-9397-08002B2CF9AE}" pid="3" name="MediaServiceImageTags">
    <vt:lpwstr/>
  </property>
</Properties>
</file>