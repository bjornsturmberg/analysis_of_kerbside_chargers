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unsw.sharepoint.com/sites/ECA-EVcharging/Shared Documents/General/Financial_model/"/>
    </mc:Choice>
  </mc:AlternateContent>
  <xr:revisionPtr revIDLastSave="0" documentId="8_{6B230FD8-32A7-4A04-A4DA-7ACE193B8073}" xr6:coauthVersionLast="47" xr6:coauthVersionMax="47" xr10:uidLastSave="{00000000-0000-0000-0000-000000000000}"/>
  <bookViews>
    <workbookView xWindow="38280" yWindow="-5610" windowWidth="29040" windowHeight="15720" firstSheet="1" activeTab="1" xr2:uid="{00000000-000D-0000-FFFF-FFFF00000000}"/>
  </bookViews>
  <sheets>
    <sheet name="IRR inputs &amp; outputs" sheetId="1" r:id="rId1"/>
    <sheet name="Bar chart" sheetId="16" r:id="rId2"/>
    <sheet name="5% utilisation" sheetId="2" r:id="rId3"/>
    <sheet name="7.5% utilisation" sheetId="15" r:id="rId4"/>
    <sheet name="10% utilisation" sheetId="3" r:id="rId5"/>
    <sheet name="12.5% utilisation" sheetId="13" r:id="rId6"/>
    <sheet name="15% utilisation" sheetId="6" r:id="rId7"/>
    <sheet name="17.5% utilisation" sheetId="12" r:id="rId8"/>
    <sheet name="20% utilisation" sheetId="4" r:id="rId9"/>
    <sheet name="22.5% utilisation" sheetId="14" r:id="rId10"/>
    <sheet name="25% utilisation" sheetId="5" r:id="rId11"/>
    <sheet name="30% utilisation" sheetId="8" r:id="rId12"/>
    <sheet name="35% utilisation" sheetId="9" r:id="rId13"/>
    <sheet name="40% utilisation" sheetId="7" r:id="rId14"/>
    <sheet name="45% utilisation" sheetId="11" r:id="rId15"/>
    <sheet name="50% utilisation" sheetId="10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6" l="1"/>
  <c r="B6" i="16"/>
  <c r="B5" i="16"/>
  <c r="C10" i="16"/>
  <c r="C7" i="16"/>
  <c r="C8" i="16" s="1"/>
  <c r="B3" i="16"/>
  <c r="H33" i="1"/>
  <c r="H32" i="1"/>
  <c r="H31" i="1"/>
  <c r="G33" i="1"/>
  <c r="G32" i="1"/>
  <c r="G31" i="1"/>
  <c r="F33" i="1"/>
  <c r="F32" i="1"/>
  <c r="F31" i="1"/>
  <c r="E33" i="1"/>
  <c r="E32" i="1"/>
  <c r="E31" i="1"/>
  <c r="D33" i="1"/>
  <c r="D32" i="1"/>
  <c r="D31" i="1"/>
  <c r="C33" i="1"/>
  <c r="C32" i="1"/>
  <c r="C31" i="1"/>
  <c r="B33" i="1"/>
  <c r="B32" i="1"/>
  <c r="B31" i="1"/>
  <c r="B6" i="1"/>
  <c r="L17" i="10"/>
  <c r="K17" i="10"/>
  <c r="J17" i="10"/>
  <c r="I17" i="10"/>
  <c r="H17" i="10"/>
  <c r="G17" i="10"/>
  <c r="F17" i="10"/>
  <c r="E17" i="10"/>
  <c r="D17" i="10"/>
  <c r="C17" i="10"/>
  <c r="L17" i="11"/>
  <c r="K17" i="11"/>
  <c r="J17" i="11"/>
  <c r="I17" i="11"/>
  <c r="H17" i="11"/>
  <c r="G17" i="11"/>
  <c r="F17" i="11"/>
  <c r="E17" i="11"/>
  <c r="D17" i="11"/>
  <c r="C17" i="11"/>
  <c r="L17" i="7"/>
  <c r="K17" i="7"/>
  <c r="J17" i="7"/>
  <c r="I17" i="7"/>
  <c r="H17" i="7"/>
  <c r="G17" i="7"/>
  <c r="F17" i="7"/>
  <c r="E17" i="7"/>
  <c r="D17" i="7"/>
  <c r="C17" i="7"/>
  <c r="L17" i="9"/>
  <c r="K17" i="9"/>
  <c r="J17" i="9"/>
  <c r="I17" i="9"/>
  <c r="H17" i="9"/>
  <c r="G17" i="9"/>
  <c r="F17" i="9"/>
  <c r="E17" i="9"/>
  <c r="D17" i="9"/>
  <c r="C17" i="9"/>
  <c r="L17" i="8"/>
  <c r="K17" i="8"/>
  <c r="J17" i="8"/>
  <c r="I17" i="8"/>
  <c r="H17" i="8"/>
  <c r="G17" i="8"/>
  <c r="F17" i="8"/>
  <c r="E17" i="8"/>
  <c r="D17" i="8"/>
  <c r="C17" i="8"/>
  <c r="L17" i="5"/>
  <c r="K17" i="5"/>
  <c r="J17" i="5"/>
  <c r="I17" i="5"/>
  <c r="H17" i="5"/>
  <c r="G17" i="5"/>
  <c r="F17" i="5"/>
  <c r="E17" i="5"/>
  <c r="D17" i="5"/>
  <c r="C17" i="5"/>
  <c r="L17" i="14"/>
  <c r="K17" i="14"/>
  <c r="J17" i="14"/>
  <c r="I17" i="14"/>
  <c r="H17" i="14"/>
  <c r="G17" i="14"/>
  <c r="F17" i="14"/>
  <c r="E17" i="14"/>
  <c r="D17" i="14"/>
  <c r="C17" i="14"/>
  <c r="L17" i="4"/>
  <c r="K17" i="4"/>
  <c r="J17" i="4"/>
  <c r="I17" i="4"/>
  <c r="H17" i="4"/>
  <c r="G17" i="4"/>
  <c r="F17" i="4"/>
  <c r="E17" i="4"/>
  <c r="D17" i="4"/>
  <c r="C17" i="4"/>
  <c r="L17" i="12"/>
  <c r="K17" i="12"/>
  <c r="J17" i="12"/>
  <c r="I17" i="12"/>
  <c r="H17" i="12"/>
  <c r="G17" i="12"/>
  <c r="F17" i="12"/>
  <c r="E17" i="12"/>
  <c r="D17" i="12"/>
  <c r="C17" i="12"/>
  <c r="L17" i="6"/>
  <c r="K17" i="6"/>
  <c r="J17" i="6"/>
  <c r="I17" i="6"/>
  <c r="H17" i="6"/>
  <c r="G17" i="6"/>
  <c r="F17" i="6"/>
  <c r="E17" i="6"/>
  <c r="D17" i="6"/>
  <c r="C17" i="6"/>
  <c r="L17" i="13"/>
  <c r="K17" i="13"/>
  <c r="J17" i="13"/>
  <c r="I17" i="13"/>
  <c r="H17" i="13"/>
  <c r="G17" i="13"/>
  <c r="F17" i="13"/>
  <c r="E17" i="13"/>
  <c r="D17" i="13"/>
  <c r="C17" i="13"/>
  <c r="L17" i="3"/>
  <c r="K17" i="3"/>
  <c r="J17" i="3"/>
  <c r="I17" i="3"/>
  <c r="H17" i="3"/>
  <c r="G17" i="3"/>
  <c r="F17" i="3"/>
  <c r="E17" i="3"/>
  <c r="D17" i="3"/>
  <c r="C17" i="3"/>
  <c r="L17" i="15"/>
  <c r="K17" i="15"/>
  <c r="J17" i="15"/>
  <c r="I17" i="15"/>
  <c r="H17" i="15"/>
  <c r="G17" i="15"/>
  <c r="F17" i="15"/>
  <c r="E17" i="15"/>
  <c r="D17" i="15"/>
  <c r="C17" i="15"/>
  <c r="L17" i="2"/>
  <c r="K17" i="2"/>
  <c r="J17" i="2"/>
  <c r="I17" i="2"/>
  <c r="H17" i="2"/>
  <c r="G17" i="2"/>
  <c r="F17" i="2"/>
  <c r="E17" i="2"/>
  <c r="D17" i="2"/>
  <c r="C17" i="2"/>
  <c r="F6" i="1"/>
  <c r="E6" i="1"/>
  <c r="G6" i="1"/>
  <c r="L15" i="15"/>
  <c r="K15" i="15"/>
  <c r="J15" i="15"/>
  <c r="I15" i="15"/>
  <c r="H15" i="15"/>
  <c r="G15" i="15"/>
  <c r="F15" i="15"/>
  <c r="E15" i="15"/>
  <c r="D15" i="15"/>
  <c r="C15" i="15"/>
  <c r="L14" i="15"/>
  <c r="K14" i="15"/>
  <c r="J14" i="15"/>
  <c r="I14" i="15"/>
  <c r="H14" i="15"/>
  <c r="G14" i="15"/>
  <c r="F14" i="15"/>
  <c r="E14" i="15"/>
  <c r="D14" i="15"/>
  <c r="C14" i="15"/>
  <c r="B13" i="15"/>
  <c r="G12" i="15"/>
  <c r="B2" i="15"/>
  <c r="B3" i="15" s="1"/>
  <c r="C27" i="1"/>
  <c r="E27" i="1"/>
  <c r="G27" i="1"/>
  <c r="I27" i="1"/>
  <c r="I26" i="1"/>
  <c r="G26" i="1"/>
  <c r="E26" i="1"/>
  <c r="C26" i="1"/>
  <c r="L15" i="14"/>
  <c r="K15" i="14"/>
  <c r="J15" i="14"/>
  <c r="I15" i="14"/>
  <c r="H15" i="14"/>
  <c r="G15" i="14"/>
  <c r="F15" i="14"/>
  <c r="E15" i="14"/>
  <c r="D15" i="14"/>
  <c r="C15" i="14"/>
  <c r="L14" i="14"/>
  <c r="K14" i="14"/>
  <c r="J14" i="14"/>
  <c r="I14" i="14"/>
  <c r="H14" i="14"/>
  <c r="G14" i="14"/>
  <c r="F14" i="14"/>
  <c r="E14" i="14"/>
  <c r="D14" i="14"/>
  <c r="C14" i="14"/>
  <c r="B13" i="14"/>
  <c r="G12" i="14"/>
  <c r="B2" i="14"/>
  <c r="B3" i="14" s="1"/>
  <c r="L15" i="13"/>
  <c r="K15" i="13"/>
  <c r="J15" i="13"/>
  <c r="I15" i="13"/>
  <c r="H15" i="13"/>
  <c r="G15" i="13"/>
  <c r="F15" i="13"/>
  <c r="E15" i="13"/>
  <c r="D15" i="13"/>
  <c r="C15" i="13"/>
  <c r="L14" i="13"/>
  <c r="K14" i="13"/>
  <c r="J14" i="13"/>
  <c r="I14" i="13"/>
  <c r="H14" i="13"/>
  <c r="G14" i="13"/>
  <c r="F14" i="13"/>
  <c r="E14" i="13"/>
  <c r="D14" i="13"/>
  <c r="C14" i="13"/>
  <c r="B13" i="13"/>
  <c r="G12" i="13"/>
  <c r="B2" i="13"/>
  <c r="B3" i="13" s="1"/>
  <c r="L15" i="12"/>
  <c r="K15" i="12"/>
  <c r="J15" i="12"/>
  <c r="I15" i="12"/>
  <c r="H15" i="12"/>
  <c r="G15" i="12"/>
  <c r="F15" i="12"/>
  <c r="E15" i="12"/>
  <c r="D15" i="12"/>
  <c r="C15" i="12"/>
  <c r="L14" i="12"/>
  <c r="K14" i="12"/>
  <c r="J14" i="12"/>
  <c r="I14" i="12"/>
  <c r="H14" i="12"/>
  <c r="G14" i="12"/>
  <c r="F14" i="12"/>
  <c r="E14" i="12"/>
  <c r="D14" i="12"/>
  <c r="C14" i="12"/>
  <c r="B13" i="12"/>
  <c r="G12" i="12"/>
  <c r="B2" i="12"/>
  <c r="B3" i="12" s="1"/>
  <c r="B12" i="15"/>
  <c r="G12" i="10"/>
  <c r="B12" i="10"/>
  <c r="G12" i="11"/>
  <c r="B12" i="11"/>
  <c r="G12" i="7"/>
  <c r="B12" i="7"/>
  <c r="G12" i="9"/>
  <c r="B12" i="9"/>
  <c r="G12" i="8"/>
  <c r="B12" i="8"/>
  <c r="G12" i="5"/>
  <c r="B12" i="5"/>
  <c r="G12" i="4"/>
  <c r="B12" i="4"/>
  <c r="G12" i="6"/>
  <c r="B12" i="6"/>
  <c r="G12" i="3"/>
  <c r="G12" i="2"/>
  <c r="L15" i="10"/>
  <c r="K15" i="10"/>
  <c r="J15" i="10"/>
  <c r="I15" i="10"/>
  <c r="H15" i="10"/>
  <c r="G15" i="10"/>
  <c r="F15" i="10"/>
  <c r="E15" i="10"/>
  <c r="D15" i="10"/>
  <c r="C15" i="10"/>
  <c r="L14" i="10"/>
  <c r="K14" i="10"/>
  <c r="J14" i="10"/>
  <c r="I14" i="10"/>
  <c r="H14" i="10"/>
  <c r="G14" i="10"/>
  <c r="F14" i="10"/>
  <c r="E14" i="10"/>
  <c r="D14" i="10"/>
  <c r="C14" i="10"/>
  <c r="B13" i="10"/>
  <c r="L15" i="11"/>
  <c r="K15" i="11"/>
  <c r="J15" i="11"/>
  <c r="I15" i="11"/>
  <c r="H15" i="11"/>
  <c r="G15" i="11"/>
  <c r="F15" i="11"/>
  <c r="E15" i="11"/>
  <c r="D15" i="11"/>
  <c r="C15" i="11"/>
  <c r="L14" i="11"/>
  <c r="K14" i="11"/>
  <c r="J14" i="11"/>
  <c r="I14" i="11"/>
  <c r="H14" i="11"/>
  <c r="G14" i="11"/>
  <c r="F14" i="11"/>
  <c r="E14" i="11"/>
  <c r="D14" i="11"/>
  <c r="C14" i="11"/>
  <c r="B13" i="11"/>
  <c r="L15" i="7"/>
  <c r="K15" i="7"/>
  <c r="J15" i="7"/>
  <c r="I15" i="7"/>
  <c r="H15" i="7"/>
  <c r="G15" i="7"/>
  <c r="F15" i="7"/>
  <c r="E15" i="7"/>
  <c r="D15" i="7"/>
  <c r="C15" i="7"/>
  <c r="L14" i="7"/>
  <c r="K14" i="7"/>
  <c r="J14" i="7"/>
  <c r="I14" i="7"/>
  <c r="H14" i="7"/>
  <c r="G14" i="7"/>
  <c r="F14" i="7"/>
  <c r="E14" i="7"/>
  <c r="D14" i="7"/>
  <c r="C14" i="7"/>
  <c r="B13" i="7"/>
  <c r="L15" i="9"/>
  <c r="K15" i="9"/>
  <c r="J15" i="9"/>
  <c r="I15" i="9"/>
  <c r="H15" i="9"/>
  <c r="G15" i="9"/>
  <c r="F15" i="9"/>
  <c r="E15" i="9"/>
  <c r="D15" i="9"/>
  <c r="C15" i="9"/>
  <c r="L14" i="9"/>
  <c r="K14" i="9"/>
  <c r="J14" i="9"/>
  <c r="I14" i="9"/>
  <c r="H14" i="9"/>
  <c r="G14" i="9"/>
  <c r="F14" i="9"/>
  <c r="E14" i="9"/>
  <c r="D14" i="9"/>
  <c r="C14" i="9"/>
  <c r="B13" i="9"/>
  <c r="L15" i="8"/>
  <c r="K15" i="8"/>
  <c r="J15" i="8"/>
  <c r="I15" i="8"/>
  <c r="H15" i="8"/>
  <c r="G15" i="8"/>
  <c r="F15" i="8"/>
  <c r="E15" i="8"/>
  <c r="D15" i="8"/>
  <c r="C15" i="8"/>
  <c r="L14" i="8"/>
  <c r="K14" i="8"/>
  <c r="J14" i="8"/>
  <c r="I14" i="8"/>
  <c r="H14" i="8"/>
  <c r="G14" i="8"/>
  <c r="F14" i="8"/>
  <c r="E14" i="8"/>
  <c r="D14" i="8"/>
  <c r="C14" i="8"/>
  <c r="B13" i="8"/>
  <c r="L15" i="5"/>
  <c r="K15" i="5"/>
  <c r="J15" i="5"/>
  <c r="I15" i="5"/>
  <c r="H15" i="5"/>
  <c r="G15" i="5"/>
  <c r="F15" i="5"/>
  <c r="E15" i="5"/>
  <c r="D15" i="5"/>
  <c r="C15" i="5"/>
  <c r="L14" i="5"/>
  <c r="K14" i="5"/>
  <c r="J14" i="5"/>
  <c r="I14" i="5"/>
  <c r="H14" i="5"/>
  <c r="G14" i="5"/>
  <c r="F14" i="5"/>
  <c r="E14" i="5"/>
  <c r="D14" i="5"/>
  <c r="C14" i="5"/>
  <c r="B13" i="5"/>
  <c r="L15" i="4"/>
  <c r="K15" i="4"/>
  <c r="J15" i="4"/>
  <c r="I15" i="4"/>
  <c r="H15" i="4"/>
  <c r="G15" i="4"/>
  <c r="F15" i="4"/>
  <c r="E15" i="4"/>
  <c r="D15" i="4"/>
  <c r="C15" i="4"/>
  <c r="L14" i="4"/>
  <c r="K14" i="4"/>
  <c r="J14" i="4"/>
  <c r="I14" i="4"/>
  <c r="H14" i="4"/>
  <c r="G14" i="4"/>
  <c r="F14" i="4"/>
  <c r="E14" i="4"/>
  <c r="D14" i="4"/>
  <c r="C14" i="4"/>
  <c r="B13" i="4"/>
  <c r="L15" i="6"/>
  <c r="K15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C14" i="6"/>
  <c r="B13" i="6"/>
  <c r="L15" i="3"/>
  <c r="K15" i="3"/>
  <c r="J15" i="3"/>
  <c r="I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D14" i="3"/>
  <c r="C14" i="3"/>
  <c r="B13" i="3"/>
  <c r="L14" i="2"/>
  <c r="K14" i="2"/>
  <c r="J14" i="2"/>
  <c r="I14" i="2"/>
  <c r="H14" i="2"/>
  <c r="G14" i="2"/>
  <c r="F14" i="2"/>
  <c r="E14" i="2"/>
  <c r="D14" i="2"/>
  <c r="C14" i="2"/>
  <c r="B13" i="2"/>
  <c r="B2" i="10"/>
  <c r="B3" i="10" s="1"/>
  <c r="B2" i="11"/>
  <c r="B3" i="11" s="1"/>
  <c r="B2" i="7"/>
  <c r="B3" i="7" s="1"/>
  <c r="B2" i="9"/>
  <c r="B3" i="9" s="1"/>
  <c r="B2" i="8"/>
  <c r="B3" i="8" s="1"/>
  <c r="B2" i="5"/>
  <c r="B3" i="5" s="1"/>
  <c r="B2" i="4"/>
  <c r="B3" i="4" s="1"/>
  <c r="L15" i="2"/>
  <c r="K15" i="2"/>
  <c r="J15" i="2"/>
  <c r="I15" i="2"/>
  <c r="H15" i="2"/>
  <c r="G15" i="2"/>
  <c r="F15" i="2"/>
  <c r="E15" i="2"/>
  <c r="D15" i="2"/>
  <c r="C15" i="2"/>
  <c r="B2" i="2"/>
  <c r="B3" i="2" s="1"/>
  <c r="B2" i="3"/>
  <c r="B3" i="3" s="1"/>
  <c r="B2" i="6"/>
  <c r="B3" i="6" s="1"/>
  <c r="D26" i="1"/>
  <c r="F26" i="1"/>
  <c r="H26" i="1"/>
  <c r="J26" i="1"/>
  <c r="K26" i="1"/>
  <c r="L26" i="1"/>
  <c r="M26" i="1"/>
  <c r="N26" i="1"/>
  <c r="O26" i="1"/>
  <c r="D27" i="1"/>
  <c r="F27" i="1"/>
  <c r="H27" i="1"/>
  <c r="J27" i="1"/>
  <c r="K27" i="1"/>
  <c r="L27" i="1"/>
  <c r="M27" i="1"/>
  <c r="N27" i="1"/>
  <c r="O27" i="1"/>
  <c r="B26" i="1"/>
  <c r="B27" i="1"/>
  <c r="L18" i="6" l="1"/>
  <c r="K18" i="6"/>
  <c r="J18" i="6"/>
  <c r="I18" i="6"/>
  <c r="H18" i="6"/>
  <c r="G18" i="6"/>
  <c r="F18" i="6"/>
  <c r="E18" i="6"/>
  <c r="D18" i="6"/>
  <c r="C18" i="6"/>
  <c r="L18" i="3"/>
  <c r="K18" i="3"/>
  <c r="J18" i="3"/>
  <c r="I18" i="3"/>
  <c r="H18" i="3"/>
  <c r="G18" i="3"/>
  <c r="F18" i="3"/>
  <c r="E18" i="3"/>
  <c r="D18" i="3"/>
  <c r="C18" i="3"/>
  <c r="C7" i="2"/>
  <c r="L18" i="2"/>
  <c r="K18" i="2"/>
  <c r="J18" i="2"/>
  <c r="I18" i="2"/>
  <c r="H18" i="2"/>
  <c r="G18" i="2"/>
  <c r="F18" i="2"/>
  <c r="E18" i="2"/>
  <c r="D18" i="2"/>
  <c r="C18" i="2"/>
  <c r="L18" i="4"/>
  <c r="K18" i="4"/>
  <c r="J18" i="4"/>
  <c r="I18" i="4"/>
  <c r="H18" i="4"/>
  <c r="G18" i="4"/>
  <c r="F18" i="4"/>
  <c r="E18" i="4"/>
  <c r="D18" i="4"/>
  <c r="C18" i="4"/>
  <c r="L18" i="5"/>
  <c r="K18" i="5"/>
  <c r="J18" i="5"/>
  <c r="I18" i="5"/>
  <c r="H18" i="5"/>
  <c r="G18" i="5"/>
  <c r="F18" i="5"/>
  <c r="E18" i="5"/>
  <c r="D18" i="5"/>
  <c r="C18" i="5"/>
  <c r="L18" i="8"/>
  <c r="K18" i="8"/>
  <c r="J18" i="8"/>
  <c r="I18" i="8"/>
  <c r="H18" i="8"/>
  <c r="G18" i="8"/>
  <c r="F18" i="8"/>
  <c r="E18" i="8"/>
  <c r="D18" i="8"/>
  <c r="C18" i="8"/>
  <c r="L18" i="9"/>
  <c r="K18" i="9"/>
  <c r="J18" i="9"/>
  <c r="I18" i="9"/>
  <c r="H18" i="9"/>
  <c r="G18" i="9"/>
  <c r="F18" i="9"/>
  <c r="E18" i="9"/>
  <c r="D18" i="9"/>
  <c r="C18" i="9"/>
  <c r="L18" i="7"/>
  <c r="K18" i="7"/>
  <c r="J18" i="7"/>
  <c r="I18" i="7"/>
  <c r="H18" i="7"/>
  <c r="G18" i="7"/>
  <c r="F18" i="7"/>
  <c r="E18" i="7"/>
  <c r="D18" i="7"/>
  <c r="C18" i="7"/>
  <c r="L18" i="11"/>
  <c r="K18" i="11"/>
  <c r="J18" i="11"/>
  <c r="I18" i="11"/>
  <c r="H18" i="11"/>
  <c r="G18" i="11"/>
  <c r="F18" i="11"/>
  <c r="E18" i="11"/>
  <c r="D18" i="11"/>
  <c r="C18" i="11"/>
  <c r="L18" i="10"/>
  <c r="K18" i="10"/>
  <c r="J18" i="10"/>
  <c r="I18" i="10"/>
  <c r="H18" i="10"/>
  <c r="G18" i="10"/>
  <c r="F18" i="10"/>
  <c r="E18" i="10"/>
  <c r="D18" i="10"/>
  <c r="C18" i="10"/>
  <c r="L18" i="12"/>
  <c r="K18" i="12"/>
  <c r="J18" i="12"/>
  <c r="I18" i="12"/>
  <c r="H18" i="12"/>
  <c r="G18" i="12"/>
  <c r="F18" i="12"/>
  <c r="E18" i="12"/>
  <c r="D18" i="12"/>
  <c r="C18" i="12"/>
  <c r="L18" i="13"/>
  <c r="K18" i="13"/>
  <c r="J18" i="13"/>
  <c r="I18" i="13"/>
  <c r="H18" i="13"/>
  <c r="G18" i="13"/>
  <c r="F18" i="13"/>
  <c r="E18" i="13"/>
  <c r="D18" i="13"/>
  <c r="C18" i="13"/>
  <c r="L18" i="14"/>
  <c r="K18" i="14"/>
  <c r="J18" i="14"/>
  <c r="I18" i="14"/>
  <c r="H18" i="14"/>
  <c r="G18" i="14"/>
  <c r="F18" i="14"/>
  <c r="E18" i="14"/>
  <c r="D18" i="14"/>
  <c r="C18" i="14"/>
  <c r="L18" i="15"/>
  <c r="K18" i="15"/>
  <c r="J18" i="15"/>
  <c r="I18" i="15"/>
  <c r="H18" i="15"/>
  <c r="G18" i="15"/>
  <c r="F18" i="15"/>
  <c r="E18" i="15"/>
  <c r="D18" i="15"/>
  <c r="C18" i="15"/>
  <c r="B117" i="6"/>
  <c r="B118" i="6" s="1"/>
  <c r="B112" i="6"/>
  <c r="B113" i="6" s="1"/>
  <c r="B107" i="6"/>
  <c r="B108" i="6" s="1"/>
  <c r="B102" i="6"/>
  <c r="B103" i="6" s="1"/>
  <c r="B117" i="4"/>
  <c r="B118" i="4" s="1"/>
  <c r="B112" i="4"/>
  <c r="B113" i="4" s="1"/>
  <c r="B107" i="4"/>
  <c r="B108" i="4" s="1"/>
  <c r="B102" i="4"/>
  <c r="B103" i="4" s="1"/>
  <c r="B117" i="5"/>
  <c r="B118" i="5" s="1"/>
  <c r="B112" i="5"/>
  <c r="B113" i="5" s="1"/>
  <c r="B107" i="5"/>
  <c r="B108" i="5" s="1"/>
  <c r="B102" i="5"/>
  <c r="B103" i="5" s="1"/>
  <c r="B117" i="8"/>
  <c r="B118" i="8" s="1"/>
  <c r="B112" i="8"/>
  <c r="B113" i="8" s="1"/>
  <c r="B107" i="8"/>
  <c r="B108" i="8" s="1"/>
  <c r="B102" i="8"/>
  <c r="B103" i="8" s="1"/>
  <c r="B117" i="9"/>
  <c r="B118" i="9" s="1"/>
  <c r="B112" i="9"/>
  <c r="B113" i="9" s="1"/>
  <c r="B107" i="9"/>
  <c r="B108" i="9" s="1"/>
  <c r="B102" i="9"/>
  <c r="B103" i="9" s="1"/>
  <c r="B117" i="7"/>
  <c r="B118" i="7" s="1"/>
  <c r="B112" i="7"/>
  <c r="B113" i="7" s="1"/>
  <c r="B107" i="7"/>
  <c r="B108" i="7" s="1"/>
  <c r="B102" i="7"/>
  <c r="B103" i="7" s="1"/>
  <c r="B117" i="11"/>
  <c r="B118" i="11" s="1"/>
  <c r="B112" i="11"/>
  <c r="B113" i="11" s="1"/>
  <c r="B107" i="11"/>
  <c r="B108" i="11" s="1"/>
  <c r="B102" i="11"/>
  <c r="B103" i="11" s="1"/>
  <c r="B117" i="10"/>
  <c r="B118" i="10" s="1"/>
  <c r="B112" i="10"/>
  <c r="B113" i="10" s="1"/>
  <c r="B107" i="10"/>
  <c r="B108" i="10" s="1"/>
  <c r="B102" i="10"/>
  <c r="B103" i="10" s="1"/>
  <c r="B117" i="15"/>
  <c r="B118" i="15" s="1"/>
  <c r="B112" i="15"/>
  <c r="B113" i="15" s="1"/>
  <c r="B107" i="15"/>
  <c r="B108" i="15" s="1"/>
  <c r="B102" i="15"/>
  <c r="B103" i="15" s="1"/>
  <c r="L16" i="15"/>
  <c r="K16" i="15"/>
  <c r="J16" i="15"/>
  <c r="I16" i="15"/>
  <c r="H16" i="15"/>
  <c r="G16" i="15"/>
  <c r="F16" i="15"/>
  <c r="E16" i="15"/>
  <c r="D16" i="15"/>
  <c r="C16" i="15"/>
  <c r="L7" i="15"/>
  <c r="L9" i="15" s="1"/>
  <c r="K7" i="15"/>
  <c r="K9" i="15" s="1"/>
  <c r="J7" i="15"/>
  <c r="J9" i="15" s="1"/>
  <c r="I7" i="15"/>
  <c r="I9" i="15" s="1"/>
  <c r="H7" i="15"/>
  <c r="H9" i="15" s="1"/>
  <c r="G7" i="15"/>
  <c r="G9" i="15" s="1"/>
  <c r="F7" i="15"/>
  <c r="F9" i="15" s="1"/>
  <c r="E7" i="15"/>
  <c r="E9" i="15" s="1"/>
  <c r="D7" i="15"/>
  <c r="D9" i="15" s="1"/>
  <c r="C7" i="15"/>
  <c r="C9" i="15" s="1"/>
  <c r="B97" i="15"/>
  <c r="B98" i="15" s="1"/>
  <c r="B92" i="15"/>
  <c r="B93" i="15" s="1"/>
  <c r="B87" i="15"/>
  <c r="B88" i="15" s="1"/>
  <c r="B82" i="15"/>
  <c r="B83" i="15" s="1"/>
  <c r="B77" i="15"/>
  <c r="B78" i="15" s="1"/>
  <c r="B72" i="15"/>
  <c r="B73" i="15" s="1"/>
  <c r="B67" i="15"/>
  <c r="B68" i="15" s="1"/>
  <c r="B62" i="15"/>
  <c r="B63" i="15" s="1"/>
  <c r="B57" i="15"/>
  <c r="B58" i="15" s="1"/>
  <c r="B52" i="15"/>
  <c r="B53" i="15" s="1"/>
  <c r="B47" i="15"/>
  <c r="B48" i="15" s="1"/>
  <c r="B42" i="15"/>
  <c r="B43" i="15" s="1"/>
  <c r="B37" i="15"/>
  <c r="B38" i="15" s="1"/>
  <c r="B32" i="15"/>
  <c r="B33" i="15" s="1"/>
  <c r="B27" i="15"/>
  <c r="B28" i="15" s="1"/>
  <c r="B19" i="15"/>
  <c r="B21" i="15" s="1"/>
  <c r="G19" i="15"/>
  <c r="C19" i="15"/>
  <c r="D19" i="15"/>
  <c r="E19" i="15"/>
  <c r="F19" i="15"/>
  <c r="H19" i="15"/>
  <c r="I19" i="15"/>
  <c r="J19" i="15"/>
  <c r="K19" i="15"/>
  <c r="L19" i="15"/>
  <c r="B12" i="14"/>
  <c r="B12" i="13"/>
  <c r="B12" i="12"/>
  <c r="L16" i="14"/>
  <c r="K16" i="14"/>
  <c r="J16" i="14"/>
  <c r="I16" i="14"/>
  <c r="H16" i="14"/>
  <c r="G16" i="14"/>
  <c r="F16" i="14"/>
  <c r="E16" i="14"/>
  <c r="D16" i="14"/>
  <c r="C16" i="14"/>
  <c r="L7" i="14"/>
  <c r="L9" i="14" s="1"/>
  <c r="K7" i="14"/>
  <c r="K9" i="14" s="1"/>
  <c r="J7" i="14"/>
  <c r="J9" i="14" s="1"/>
  <c r="I7" i="14"/>
  <c r="I9" i="14" s="1"/>
  <c r="H7" i="14"/>
  <c r="H9" i="14" s="1"/>
  <c r="G7" i="14"/>
  <c r="G9" i="14" s="1"/>
  <c r="F7" i="14"/>
  <c r="F9" i="14" s="1"/>
  <c r="E7" i="14"/>
  <c r="E9" i="14" s="1"/>
  <c r="D7" i="14"/>
  <c r="D9" i="14" s="1"/>
  <c r="C7" i="14"/>
  <c r="C9" i="14" s="1"/>
  <c r="B97" i="14"/>
  <c r="B98" i="14" s="1"/>
  <c r="B92" i="14"/>
  <c r="B93" i="14" s="1"/>
  <c r="B87" i="14"/>
  <c r="B88" i="14" s="1"/>
  <c r="B82" i="14"/>
  <c r="B83" i="14" s="1"/>
  <c r="B77" i="14"/>
  <c r="B78" i="14" s="1"/>
  <c r="B72" i="14"/>
  <c r="B73" i="14" s="1"/>
  <c r="B67" i="14"/>
  <c r="B68" i="14" s="1"/>
  <c r="B62" i="14"/>
  <c r="B63" i="14" s="1"/>
  <c r="B57" i="14"/>
  <c r="B58" i="14" s="1"/>
  <c r="B52" i="14"/>
  <c r="B53" i="14" s="1"/>
  <c r="B47" i="14"/>
  <c r="B48" i="14" s="1"/>
  <c r="B42" i="14"/>
  <c r="B43" i="14" s="1"/>
  <c r="B37" i="14"/>
  <c r="B38" i="14" s="1"/>
  <c r="B32" i="14"/>
  <c r="B33" i="14" s="1"/>
  <c r="B27" i="14"/>
  <c r="B28" i="14" s="1"/>
  <c r="B19" i="14"/>
  <c r="B21" i="14" s="1"/>
  <c r="G19" i="14"/>
  <c r="C19" i="14"/>
  <c r="D19" i="14"/>
  <c r="E19" i="14"/>
  <c r="F19" i="14"/>
  <c r="H19" i="14"/>
  <c r="I19" i="14"/>
  <c r="J19" i="14"/>
  <c r="K19" i="14"/>
  <c r="L19" i="14"/>
  <c r="L16" i="13"/>
  <c r="K16" i="13"/>
  <c r="J16" i="13"/>
  <c r="I16" i="13"/>
  <c r="H16" i="13"/>
  <c r="G16" i="13"/>
  <c r="F16" i="13"/>
  <c r="E16" i="13"/>
  <c r="D16" i="13"/>
  <c r="C16" i="13"/>
  <c r="L7" i="13"/>
  <c r="L9" i="13" s="1"/>
  <c r="K7" i="13"/>
  <c r="K9" i="13" s="1"/>
  <c r="J7" i="13"/>
  <c r="J9" i="13" s="1"/>
  <c r="I7" i="13"/>
  <c r="I9" i="13" s="1"/>
  <c r="H7" i="13"/>
  <c r="H9" i="13" s="1"/>
  <c r="G7" i="13"/>
  <c r="G9" i="13" s="1"/>
  <c r="F7" i="13"/>
  <c r="F9" i="13" s="1"/>
  <c r="E7" i="13"/>
  <c r="E9" i="13" s="1"/>
  <c r="D7" i="13"/>
  <c r="D9" i="13" s="1"/>
  <c r="C7" i="13"/>
  <c r="C9" i="13" s="1"/>
  <c r="B97" i="13"/>
  <c r="B98" i="13" s="1"/>
  <c r="B92" i="13"/>
  <c r="B93" i="13" s="1"/>
  <c r="B87" i="13"/>
  <c r="B88" i="13" s="1"/>
  <c r="B82" i="13"/>
  <c r="B83" i="13" s="1"/>
  <c r="B77" i="13"/>
  <c r="B78" i="13" s="1"/>
  <c r="B72" i="13"/>
  <c r="B73" i="13" s="1"/>
  <c r="B67" i="13"/>
  <c r="B68" i="13" s="1"/>
  <c r="B62" i="13"/>
  <c r="B63" i="13" s="1"/>
  <c r="B57" i="13"/>
  <c r="B58" i="13" s="1"/>
  <c r="B52" i="13"/>
  <c r="B53" i="13" s="1"/>
  <c r="B47" i="13"/>
  <c r="B48" i="13" s="1"/>
  <c r="B42" i="13"/>
  <c r="B43" i="13" s="1"/>
  <c r="B37" i="13"/>
  <c r="B38" i="13" s="1"/>
  <c r="B32" i="13"/>
  <c r="B33" i="13" s="1"/>
  <c r="B27" i="13"/>
  <c r="B28" i="13" s="1"/>
  <c r="B19" i="13"/>
  <c r="B21" i="13" s="1"/>
  <c r="G19" i="13"/>
  <c r="C19" i="13"/>
  <c r="D19" i="13"/>
  <c r="E19" i="13"/>
  <c r="F19" i="13"/>
  <c r="H19" i="13"/>
  <c r="I19" i="13"/>
  <c r="J19" i="13"/>
  <c r="K19" i="13"/>
  <c r="L19" i="13"/>
  <c r="L16" i="12"/>
  <c r="K16" i="12"/>
  <c r="J16" i="12"/>
  <c r="I16" i="12"/>
  <c r="H16" i="12"/>
  <c r="G16" i="12"/>
  <c r="F16" i="12"/>
  <c r="E16" i="12"/>
  <c r="D16" i="12"/>
  <c r="C16" i="12"/>
  <c r="L7" i="12"/>
  <c r="L9" i="12" s="1"/>
  <c r="K7" i="12"/>
  <c r="K9" i="12" s="1"/>
  <c r="J7" i="12"/>
  <c r="J9" i="12" s="1"/>
  <c r="I7" i="12"/>
  <c r="I9" i="12" s="1"/>
  <c r="H7" i="12"/>
  <c r="H9" i="12" s="1"/>
  <c r="G7" i="12"/>
  <c r="G9" i="12" s="1"/>
  <c r="F7" i="12"/>
  <c r="F9" i="12" s="1"/>
  <c r="E7" i="12"/>
  <c r="E9" i="12" s="1"/>
  <c r="D7" i="12"/>
  <c r="D9" i="12" s="1"/>
  <c r="C7" i="12"/>
  <c r="C9" i="12" s="1"/>
  <c r="B97" i="12"/>
  <c r="B98" i="12" s="1"/>
  <c r="B92" i="12"/>
  <c r="B93" i="12" s="1"/>
  <c r="B87" i="12"/>
  <c r="B88" i="12" s="1"/>
  <c r="B82" i="12"/>
  <c r="B83" i="12" s="1"/>
  <c r="B77" i="12"/>
  <c r="B78" i="12" s="1"/>
  <c r="B72" i="12"/>
  <c r="B73" i="12" s="1"/>
  <c r="B67" i="12"/>
  <c r="B68" i="12" s="1"/>
  <c r="B62" i="12"/>
  <c r="B63" i="12" s="1"/>
  <c r="B57" i="12"/>
  <c r="B58" i="12" s="1"/>
  <c r="B52" i="12"/>
  <c r="B53" i="12" s="1"/>
  <c r="B47" i="12"/>
  <c r="B48" i="12" s="1"/>
  <c r="B42" i="12"/>
  <c r="B43" i="12" s="1"/>
  <c r="B37" i="12"/>
  <c r="B38" i="12" s="1"/>
  <c r="B32" i="12"/>
  <c r="B33" i="12" s="1"/>
  <c r="B27" i="12"/>
  <c r="B28" i="12" s="1"/>
  <c r="B19" i="12"/>
  <c r="B21" i="12" s="1"/>
  <c r="G19" i="12"/>
  <c r="C19" i="12"/>
  <c r="D19" i="12"/>
  <c r="E19" i="12"/>
  <c r="F19" i="12"/>
  <c r="H19" i="12"/>
  <c r="I19" i="12"/>
  <c r="J19" i="12"/>
  <c r="K19" i="12"/>
  <c r="L19" i="12"/>
  <c r="B19" i="6"/>
  <c r="B21" i="6" s="1"/>
  <c r="B97" i="6"/>
  <c r="B98" i="6" s="1"/>
  <c r="B92" i="6"/>
  <c r="B93" i="6" s="1"/>
  <c r="B87" i="6"/>
  <c r="B88" i="6" s="1"/>
  <c r="B82" i="6"/>
  <c r="B83" i="6" s="1"/>
  <c r="B77" i="6"/>
  <c r="B78" i="6" s="1"/>
  <c r="B72" i="6"/>
  <c r="B73" i="6" s="1"/>
  <c r="B67" i="6"/>
  <c r="B68" i="6" s="1"/>
  <c r="B62" i="6"/>
  <c r="B63" i="6" s="1"/>
  <c r="B57" i="6"/>
  <c r="B58" i="6" s="1"/>
  <c r="B52" i="6"/>
  <c r="B53" i="6" s="1"/>
  <c r="B47" i="6"/>
  <c r="B48" i="6" s="1"/>
  <c r="B42" i="6"/>
  <c r="B43" i="6" s="1"/>
  <c r="B37" i="6"/>
  <c r="B38" i="6" s="1"/>
  <c r="B32" i="6"/>
  <c r="B33" i="6" s="1"/>
  <c r="B27" i="6"/>
  <c r="B28" i="6" s="1"/>
  <c r="B12" i="2"/>
  <c r="B12" i="3"/>
  <c r="L7" i="10"/>
  <c r="L9" i="10" s="1"/>
  <c r="K7" i="10"/>
  <c r="K9" i="10" s="1"/>
  <c r="J7" i="10"/>
  <c r="J9" i="10" s="1"/>
  <c r="I7" i="10"/>
  <c r="I9" i="10" s="1"/>
  <c r="H7" i="10"/>
  <c r="H9" i="10" s="1"/>
  <c r="G7" i="10"/>
  <c r="G9" i="10" s="1"/>
  <c r="F7" i="10"/>
  <c r="F9" i="10" s="1"/>
  <c r="E7" i="10"/>
  <c r="E9" i="10" s="1"/>
  <c r="D7" i="10"/>
  <c r="D9" i="10" s="1"/>
  <c r="C7" i="10"/>
  <c r="C9" i="10" s="1"/>
  <c r="B97" i="10"/>
  <c r="B98" i="10" s="1"/>
  <c r="B92" i="10"/>
  <c r="B93" i="10" s="1"/>
  <c r="B87" i="10"/>
  <c r="B88" i="10" s="1"/>
  <c r="B82" i="10"/>
  <c r="B83" i="10" s="1"/>
  <c r="B77" i="10"/>
  <c r="B78" i="10" s="1"/>
  <c r="B72" i="10"/>
  <c r="B73" i="10" s="1"/>
  <c r="B67" i="10"/>
  <c r="B68" i="10" s="1"/>
  <c r="B62" i="10"/>
  <c r="B63" i="10" s="1"/>
  <c r="B57" i="10"/>
  <c r="B58" i="10" s="1"/>
  <c r="B52" i="10"/>
  <c r="B53" i="10" s="1"/>
  <c r="B47" i="10"/>
  <c r="B48" i="10" s="1"/>
  <c r="B42" i="10"/>
  <c r="B43" i="10" s="1"/>
  <c r="B37" i="10"/>
  <c r="B38" i="10" s="1"/>
  <c r="B32" i="10"/>
  <c r="B33" i="10" s="1"/>
  <c r="B27" i="10"/>
  <c r="B28" i="10" s="1"/>
  <c r="B19" i="10"/>
  <c r="B21" i="10" s="1"/>
  <c r="L7" i="11"/>
  <c r="L9" i="11" s="1"/>
  <c r="K7" i="11"/>
  <c r="K9" i="11" s="1"/>
  <c r="J7" i="11"/>
  <c r="J9" i="11" s="1"/>
  <c r="I7" i="11"/>
  <c r="I9" i="11" s="1"/>
  <c r="H7" i="11"/>
  <c r="H9" i="11" s="1"/>
  <c r="G7" i="11"/>
  <c r="G9" i="11" s="1"/>
  <c r="F7" i="11"/>
  <c r="F9" i="11" s="1"/>
  <c r="E7" i="11"/>
  <c r="E9" i="11" s="1"/>
  <c r="D7" i="11"/>
  <c r="D9" i="11" s="1"/>
  <c r="C7" i="11"/>
  <c r="C9" i="11" s="1"/>
  <c r="B97" i="11"/>
  <c r="B98" i="11" s="1"/>
  <c r="B92" i="11"/>
  <c r="B93" i="11" s="1"/>
  <c r="B87" i="11"/>
  <c r="B88" i="11" s="1"/>
  <c r="B82" i="11"/>
  <c r="B83" i="11" s="1"/>
  <c r="B77" i="11"/>
  <c r="B78" i="11" s="1"/>
  <c r="B72" i="11"/>
  <c r="B73" i="11" s="1"/>
  <c r="B67" i="11"/>
  <c r="B68" i="11" s="1"/>
  <c r="B62" i="11"/>
  <c r="B63" i="11" s="1"/>
  <c r="B57" i="11"/>
  <c r="B58" i="11" s="1"/>
  <c r="B52" i="11"/>
  <c r="B53" i="11" s="1"/>
  <c r="B47" i="11"/>
  <c r="B48" i="11" s="1"/>
  <c r="B42" i="11"/>
  <c r="B43" i="11" s="1"/>
  <c r="B37" i="11"/>
  <c r="B38" i="11" s="1"/>
  <c r="B32" i="11"/>
  <c r="B33" i="11" s="1"/>
  <c r="B27" i="11"/>
  <c r="B28" i="11" s="1"/>
  <c r="B19" i="11"/>
  <c r="B21" i="11" s="1"/>
  <c r="L7" i="7"/>
  <c r="L9" i="7" s="1"/>
  <c r="K7" i="7"/>
  <c r="K9" i="7" s="1"/>
  <c r="J7" i="7"/>
  <c r="J9" i="7" s="1"/>
  <c r="I7" i="7"/>
  <c r="I9" i="7" s="1"/>
  <c r="H7" i="7"/>
  <c r="H9" i="7" s="1"/>
  <c r="G7" i="7"/>
  <c r="G9" i="7" s="1"/>
  <c r="F7" i="7"/>
  <c r="F9" i="7" s="1"/>
  <c r="E7" i="7"/>
  <c r="E9" i="7" s="1"/>
  <c r="D7" i="7"/>
  <c r="D9" i="7" s="1"/>
  <c r="C7" i="7"/>
  <c r="C9" i="7" s="1"/>
  <c r="B97" i="7"/>
  <c r="B98" i="7" s="1"/>
  <c r="B92" i="7"/>
  <c r="B93" i="7" s="1"/>
  <c r="B87" i="7"/>
  <c r="B88" i="7" s="1"/>
  <c r="B82" i="7"/>
  <c r="B83" i="7" s="1"/>
  <c r="B77" i="7"/>
  <c r="B78" i="7" s="1"/>
  <c r="B72" i="7"/>
  <c r="B73" i="7" s="1"/>
  <c r="B67" i="7"/>
  <c r="B68" i="7" s="1"/>
  <c r="B62" i="7"/>
  <c r="B63" i="7" s="1"/>
  <c r="B57" i="7"/>
  <c r="B58" i="7" s="1"/>
  <c r="B52" i="7"/>
  <c r="B53" i="7" s="1"/>
  <c r="B47" i="7"/>
  <c r="B48" i="7" s="1"/>
  <c r="B42" i="7"/>
  <c r="B43" i="7" s="1"/>
  <c r="B37" i="7"/>
  <c r="B38" i="7" s="1"/>
  <c r="B32" i="7"/>
  <c r="B33" i="7" s="1"/>
  <c r="B27" i="7"/>
  <c r="B28" i="7" s="1"/>
  <c r="B19" i="7"/>
  <c r="B21" i="7" s="1"/>
  <c r="L7" i="9"/>
  <c r="L9" i="9" s="1"/>
  <c r="K7" i="9"/>
  <c r="K9" i="9" s="1"/>
  <c r="J7" i="9"/>
  <c r="J9" i="9" s="1"/>
  <c r="I7" i="9"/>
  <c r="I9" i="9" s="1"/>
  <c r="H7" i="9"/>
  <c r="H9" i="9" s="1"/>
  <c r="G7" i="9"/>
  <c r="G9" i="9" s="1"/>
  <c r="F7" i="9"/>
  <c r="F9" i="9" s="1"/>
  <c r="E7" i="9"/>
  <c r="E9" i="9" s="1"/>
  <c r="D7" i="9"/>
  <c r="D9" i="9" s="1"/>
  <c r="C7" i="9"/>
  <c r="C9" i="9" s="1"/>
  <c r="B97" i="9"/>
  <c r="B98" i="9" s="1"/>
  <c r="B92" i="9"/>
  <c r="B93" i="9" s="1"/>
  <c r="B87" i="9"/>
  <c r="B88" i="9" s="1"/>
  <c r="B82" i="9"/>
  <c r="B83" i="9" s="1"/>
  <c r="B77" i="9"/>
  <c r="B78" i="9" s="1"/>
  <c r="B72" i="9"/>
  <c r="B73" i="9" s="1"/>
  <c r="B67" i="9"/>
  <c r="B68" i="9" s="1"/>
  <c r="B62" i="9"/>
  <c r="B63" i="9" s="1"/>
  <c r="B57" i="9"/>
  <c r="B58" i="9" s="1"/>
  <c r="B52" i="9"/>
  <c r="B53" i="9" s="1"/>
  <c r="B47" i="9"/>
  <c r="B48" i="9" s="1"/>
  <c r="B42" i="9"/>
  <c r="B43" i="9" s="1"/>
  <c r="B37" i="9"/>
  <c r="B38" i="9" s="1"/>
  <c r="B32" i="9"/>
  <c r="B33" i="9" s="1"/>
  <c r="B27" i="9"/>
  <c r="B28" i="9" s="1"/>
  <c r="B19" i="9"/>
  <c r="B21" i="9" s="1"/>
  <c r="L7" i="8"/>
  <c r="L9" i="8" s="1"/>
  <c r="K7" i="8"/>
  <c r="K9" i="8" s="1"/>
  <c r="J7" i="8"/>
  <c r="J9" i="8" s="1"/>
  <c r="I7" i="8"/>
  <c r="I9" i="8" s="1"/>
  <c r="H7" i="8"/>
  <c r="H9" i="8" s="1"/>
  <c r="G7" i="8"/>
  <c r="G9" i="8" s="1"/>
  <c r="F7" i="8"/>
  <c r="F9" i="8" s="1"/>
  <c r="E7" i="8"/>
  <c r="E9" i="8" s="1"/>
  <c r="D7" i="8"/>
  <c r="D9" i="8" s="1"/>
  <c r="C7" i="8"/>
  <c r="C9" i="8" s="1"/>
  <c r="B97" i="8"/>
  <c r="B98" i="8" s="1"/>
  <c r="B92" i="8"/>
  <c r="B93" i="8" s="1"/>
  <c r="B87" i="8"/>
  <c r="B88" i="8" s="1"/>
  <c r="B82" i="8"/>
  <c r="B83" i="8" s="1"/>
  <c r="B77" i="8"/>
  <c r="B78" i="8" s="1"/>
  <c r="B72" i="8"/>
  <c r="B73" i="8" s="1"/>
  <c r="B67" i="8"/>
  <c r="B68" i="8" s="1"/>
  <c r="B62" i="8"/>
  <c r="B63" i="8" s="1"/>
  <c r="B57" i="8"/>
  <c r="B58" i="8" s="1"/>
  <c r="B52" i="8"/>
  <c r="B53" i="8" s="1"/>
  <c r="B47" i="8"/>
  <c r="B48" i="8" s="1"/>
  <c r="B42" i="8"/>
  <c r="B43" i="8" s="1"/>
  <c r="B37" i="8"/>
  <c r="B38" i="8" s="1"/>
  <c r="B32" i="8"/>
  <c r="B33" i="8" s="1"/>
  <c r="B27" i="8"/>
  <c r="B28" i="8" s="1"/>
  <c r="B19" i="8"/>
  <c r="B21" i="8" s="1"/>
  <c r="L7" i="5"/>
  <c r="L9" i="5" s="1"/>
  <c r="K7" i="5"/>
  <c r="K9" i="5" s="1"/>
  <c r="J7" i="5"/>
  <c r="J9" i="5" s="1"/>
  <c r="I7" i="5"/>
  <c r="I9" i="5" s="1"/>
  <c r="H7" i="5"/>
  <c r="H9" i="5" s="1"/>
  <c r="G7" i="5"/>
  <c r="G9" i="5" s="1"/>
  <c r="F7" i="5"/>
  <c r="F9" i="5" s="1"/>
  <c r="E7" i="5"/>
  <c r="E9" i="5" s="1"/>
  <c r="D7" i="5"/>
  <c r="D9" i="5" s="1"/>
  <c r="C7" i="5"/>
  <c r="C9" i="5" s="1"/>
  <c r="B97" i="5"/>
  <c r="B98" i="5" s="1"/>
  <c r="B92" i="5"/>
  <c r="B93" i="5" s="1"/>
  <c r="B87" i="5"/>
  <c r="B88" i="5" s="1"/>
  <c r="B82" i="5"/>
  <c r="B83" i="5" s="1"/>
  <c r="B77" i="5"/>
  <c r="B78" i="5" s="1"/>
  <c r="B72" i="5"/>
  <c r="B73" i="5" s="1"/>
  <c r="B67" i="5"/>
  <c r="B68" i="5" s="1"/>
  <c r="B62" i="5"/>
  <c r="B63" i="5" s="1"/>
  <c r="B57" i="5"/>
  <c r="B58" i="5" s="1"/>
  <c r="B52" i="5"/>
  <c r="B53" i="5" s="1"/>
  <c r="B47" i="5"/>
  <c r="B48" i="5" s="1"/>
  <c r="B42" i="5"/>
  <c r="B43" i="5" s="1"/>
  <c r="B37" i="5"/>
  <c r="B38" i="5" s="1"/>
  <c r="B32" i="5"/>
  <c r="B33" i="5" s="1"/>
  <c r="B27" i="5"/>
  <c r="B28" i="5" s="1"/>
  <c r="B19" i="5"/>
  <c r="B21" i="5" s="1"/>
  <c r="L7" i="4"/>
  <c r="L9" i="4" s="1"/>
  <c r="K7" i="4"/>
  <c r="K9" i="4" s="1"/>
  <c r="J7" i="4"/>
  <c r="J9" i="4" s="1"/>
  <c r="I7" i="4"/>
  <c r="I9" i="4" s="1"/>
  <c r="H7" i="4"/>
  <c r="H9" i="4" s="1"/>
  <c r="G7" i="4"/>
  <c r="G9" i="4" s="1"/>
  <c r="F7" i="4"/>
  <c r="F9" i="4" s="1"/>
  <c r="E7" i="4"/>
  <c r="E9" i="4" s="1"/>
  <c r="D7" i="4"/>
  <c r="D9" i="4" s="1"/>
  <c r="C7" i="4"/>
  <c r="C9" i="4" s="1"/>
  <c r="B97" i="4"/>
  <c r="B98" i="4" s="1"/>
  <c r="B92" i="4"/>
  <c r="B93" i="4" s="1"/>
  <c r="B87" i="4"/>
  <c r="B88" i="4" s="1"/>
  <c r="B82" i="4"/>
  <c r="B83" i="4" s="1"/>
  <c r="B77" i="4"/>
  <c r="B78" i="4" s="1"/>
  <c r="B72" i="4"/>
  <c r="B73" i="4" s="1"/>
  <c r="B67" i="4"/>
  <c r="B68" i="4" s="1"/>
  <c r="B62" i="4"/>
  <c r="B63" i="4" s="1"/>
  <c r="B57" i="4"/>
  <c r="B58" i="4" s="1"/>
  <c r="B52" i="4"/>
  <c r="B53" i="4" s="1"/>
  <c r="B47" i="4"/>
  <c r="B48" i="4" s="1"/>
  <c r="B42" i="4"/>
  <c r="B43" i="4" s="1"/>
  <c r="B37" i="4"/>
  <c r="B38" i="4" s="1"/>
  <c r="B32" i="4"/>
  <c r="B33" i="4" s="1"/>
  <c r="B27" i="4"/>
  <c r="B28" i="4" s="1"/>
  <c r="B19" i="4"/>
  <c r="B21" i="4" s="1"/>
  <c r="L7" i="2"/>
  <c r="L9" i="2" s="1"/>
  <c r="K7" i="2"/>
  <c r="K9" i="2" s="1"/>
  <c r="J7" i="2"/>
  <c r="J9" i="2" s="1"/>
  <c r="I7" i="2"/>
  <c r="I9" i="2" s="1"/>
  <c r="H7" i="2"/>
  <c r="H9" i="2" s="1"/>
  <c r="G7" i="2"/>
  <c r="G9" i="2" s="1"/>
  <c r="F7" i="2"/>
  <c r="F9" i="2" s="1"/>
  <c r="E7" i="2"/>
  <c r="E9" i="2" s="1"/>
  <c r="D7" i="2"/>
  <c r="D9" i="2" s="1"/>
  <c r="C9" i="2"/>
  <c r="B97" i="2"/>
  <c r="B98" i="2" s="1"/>
  <c r="B92" i="2"/>
  <c r="B93" i="2" s="1"/>
  <c r="B87" i="2"/>
  <c r="B88" i="2" s="1"/>
  <c r="B82" i="2"/>
  <c r="B83" i="2" s="1"/>
  <c r="B77" i="2"/>
  <c r="B78" i="2" s="1"/>
  <c r="B72" i="2"/>
  <c r="B73" i="2" s="1"/>
  <c r="B67" i="2"/>
  <c r="B68" i="2" s="1"/>
  <c r="B62" i="2"/>
  <c r="B63" i="2" s="1"/>
  <c r="B57" i="2"/>
  <c r="B58" i="2" s="1"/>
  <c r="B52" i="2"/>
  <c r="B53" i="2" s="1"/>
  <c r="B47" i="2"/>
  <c r="B48" i="2" s="1"/>
  <c r="B42" i="2"/>
  <c r="B43" i="2" s="1"/>
  <c r="B37" i="2"/>
  <c r="B38" i="2" s="1"/>
  <c r="B32" i="2"/>
  <c r="B33" i="2" s="1"/>
  <c r="B27" i="2"/>
  <c r="B28" i="2" s="1"/>
  <c r="B19" i="2"/>
  <c r="B21" i="2" s="1"/>
  <c r="L7" i="3"/>
  <c r="L9" i="3" s="1"/>
  <c r="K7" i="3"/>
  <c r="K9" i="3" s="1"/>
  <c r="J7" i="3"/>
  <c r="J9" i="3" s="1"/>
  <c r="I7" i="3"/>
  <c r="I9" i="3" s="1"/>
  <c r="H7" i="3"/>
  <c r="H9" i="3" s="1"/>
  <c r="G7" i="3"/>
  <c r="G9" i="3" s="1"/>
  <c r="F7" i="3"/>
  <c r="F9" i="3" s="1"/>
  <c r="E7" i="3"/>
  <c r="E9" i="3" s="1"/>
  <c r="D7" i="3"/>
  <c r="D9" i="3" s="1"/>
  <c r="C7" i="3"/>
  <c r="C9" i="3" s="1"/>
  <c r="B97" i="3"/>
  <c r="B98" i="3" s="1"/>
  <c r="B92" i="3"/>
  <c r="B93" i="3" s="1"/>
  <c r="B87" i="3"/>
  <c r="B88" i="3" s="1"/>
  <c r="B82" i="3"/>
  <c r="B83" i="3" s="1"/>
  <c r="B77" i="3"/>
  <c r="B78" i="3" s="1"/>
  <c r="B72" i="3"/>
  <c r="B73" i="3" s="1"/>
  <c r="B67" i="3"/>
  <c r="B68" i="3" s="1"/>
  <c r="B62" i="3"/>
  <c r="B63" i="3" s="1"/>
  <c r="B57" i="3"/>
  <c r="B58" i="3" s="1"/>
  <c r="B52" i="3"/>
  <c r="B53" i="3" s="1"/>
  <c r="B47" i="3"/>
  <c r="B48" i="3" s="1"/>
  <c r="B42" i="3"/>
  <c r="B43" i="3" s="1"/>
  <c r="B37" i="3"/>
  <c r="B38" i="3" s="1"/>
  <c r="B32" i="3"/>
  <c r="B33" i="3" s="1"/>
  <c r="B27" i="3"/>
  <c r="B28" i="3" s="1"/>
  <c r="B19" i="3"/>
  <c r="B21" i="3" s="1"/>
  <c r="B117" i="3" l="1"/>
  <c r="B118" i="3" s="1"/>
  <c r="B112" i="3"/>
  <c r="B113" i="3" s="1"/>
  <c r="B107" i="3"/>
  <c r="B108" i="3" s="1"/>
  <c r="B102" i="3"/>
  <c r="B103" i="3" s="1"/>
  <c r="B117" i="12"/>
  <c r="B118" i="12" s="1"/>
  <c r="B112" i="12"/>
  <c r="B113" i="12" s="1"/>
  <c r="B107" i="12"/>
  <c r="B108" i="12" s="1"/>
  <c r="B102" i="12"/>
  <c r="B103" i="12" s="1"/>
  <c r="B117" i="13"/>
  <c r="B118" i="13" s="1"/>
  <c r="B112" i="13"/>
  <c r="B113" i="13" s="1"/>
  <c r="B107" i="13"/>
  <c r="B108" i="13" s="1"/>
  <c r="B102" i="13"/>
  <c r="B103" i="13" s="1"/>
  <c r="B117" i="14"/>
  <c r="B118" i="14" s="1"/>
  <c r="B112" i="14"/>
  <c r="B113" i="14" s="1"/>
  <c r="B107" i="14"/>
  <c r="B108" i="14" s="1"/>
  <c r="B102" i="14"/>
  <c r="B103" i="14" s="1"/>
  <c r="B117" i="2"/>
  <c r="B118" i="2" s="1"/>
  <c r="B112" i="2"/>
  <c r="B113" i="2" s="1"/>
  <c r="B107" i="2"/>
  <c r="B108" i="2" s="1"/>
  <c r="B102" i="2"/>
  <c r="B103" i="2" s="1"/>
  <c r="C21" i="15"/>
  <c r="D21" i="15"/>
  <c r="E21" i="15"/>
  <c r="F21" i="15"/>
  <c r="G21" i="15"/>
  <c r="H21" i="15"/>
  <c r="I21" i="15"/>
  <c r="J21" i="15"/>
  <c r="K21" i="15"/>
  <c r="L21" i="15"/>
  <c r="C21" i="14"/>
  <c r="D21" i="14"/>
  <c r="E21" i="14"/>
  <c r="F21" i="14"/>
  <c r="G21" i="14"/>
  <c r="H21" i="14"/>
  <c r="I21" i="14"/>
  <c r="J21" i="14"/>
  <c r="K21" i="14"/>
  <c r="L21" i="14"/>
  <c r="C21" i="13"/>
  <c r="D21" i="13"/>
  <c r="E21" i="13"/>
  <c r="F21" i="13"/>
  <c r="G21" i="13"/>
  <c r="H21" i="13"/>
  <c r="I21" i="13"/>
  <c r="J21" i="13"/>
  <c r="K21" i="13"/>
  <c r="L21" i="13"/>
  <c r="C21" i="12"/>
  <c r="D21" i="12"/>
  <c r="E21" i="12"/>
  <c r="F21" i="12"/>
  <c r="G21" i="12"/>
  <c r="H21" i="12"/>
  <c r="I21" i="12"/>
  <c r="J21" i="12"/>
  <c r="K21" i="12"/>
  <c r="L21" i="12"/>
  <c r="L16" i="6"/>
  <c r="K16" i="6"/>
  <c r="J16" i="6"/>
  <c r="I16" i="6"/>
  <c r="H16" i="6"/>
  <c r="G16" i="6"/>
  <c r="F16" i="6"/>
  <c r="E16" i="6"/>
  <c r="D16" i="6"/>
  <c r="C16" i="6"/>
  <c r="L16" i="4"/>
  <c r="L19" i="4" s="1"/>
  <c r="K16" i="4"/>
  <c r="K19" i="4" s="1"/>
  <c r="J16" i="4"/>
  <c r="J19" i="4" s="1"/>
  <c r="I16" i="4"/>
  <c r="H16" i="4"/>
  <c r="H19" i="4" s="1"/>
  <c r="G16" i="4"/>
  <c r="G19" i="4" s="1"/>
  <c r="F16" i="4"/>
  <c r="F19" i="4" s="1"/>
  <c r="E16" i="4"/>
  <c r="E19" i="4" s="1"/>
  <c r="D16" i="4"/>
  <c r="D19" i="4" s="1"/>
  <c r="C16" i="4"/>
  <c r="C19" i="4" s="1"/>
  <c r="L16" i="5"/>
  <c r="L19" i="5" s="1"/>
  <c r="K16" i="5"/>
  <c r="K19" i="5" s="1"/>
  <c r="J16" i="5"/>
  <c r="J19" i="5" s="1"/>
  <c r="I16" i="5"/>
  <c r="I19" i="5" s="1"/>
  <c r="H16" i="5"/>
  <c r="H19" i="5" s="1"/>
  <c r="G16" i="5"/>
  <c r="G19" i="5" s="1"/>
  <c r="F16" i="5"/>
  <c r="F19" i="5" s="1"/>
  <c r="E16" i="5"/>
  <c r="E19" i="5" s="1"/>
  <c r="D16" i="5"/>
  <c r="D19" i="5" s="1"/>
  <c r="C16" i="5"/>
  <c r="C19" i="5" s="1"/>
  <c r="L16" i="8"/>
  <c r="L19" i="8" s="1"/>
  <c r="K16" i="8"/>
  <c r="K19" i="8" s="1"/>
  <c r="J16" i="8"/>
  <c r="J19" i="8" s="1"/>
  <c r="I16" i="8"/>
  <c r="I19" i="8" s="1"/>
  <c r="H16" i="8"/>
  <c r="H19" i="8" s="1"/>
  <c r="G16" i="8"/>
  <c r="G19" i="8" s="1"/>
  <c r="F16" i="8"/>
  <c r="F19" i="8" s="1"/>
  <c r="E16" i="8"/>
  <c r="E19" i="8" s="1"/>
  <c r="D16" i="8"/>
  <c r="D19" i="8" s="1"/>
  <c r="C16" i="8"/>
  <c r="C19" i="8" s="1"/>
  <c r="L16" i="9"/>
  <c r="L19" i="9" s="1"/>
  <c r="K16" i="9"/>
  <c r="K19" i="9" s="1"/>
  <c r="J16" i="9"/>
  <c r="J19" i="9" s="1"/>
  <c r="I16" i="9"/>
  <c r="I19" i="9" s="1"/>
  <c r="H16" i="9"/>
  <c r="H19" i="9" s="1"/>
  <c r="G16" i="9"/>
  <c r="G19" i="9" s="1"/>
  <c r="F16" i="9"/>
  <c r="F19" i="9" s="1"/>
  <c r="E16" i="9"/>
  <c r="E19" i="9" s="1"/>
  <c r="D16" i="9"/>
  <c r="D19" i="9" s="1"/>
  <c r="C16" i="9"/>
  <c r="C19" i="9" s="1"/>
  <c r="L16" i="7"/>
  <c r="L19" i="7" s="1"/>
  <c r="K16" i="7"/>
  <c r="K19" i="7" s="1"/>
  <c r="J16" i="7"/>
  <c r="J19" i="7" s="1"/>
  <c r="I16" i="7"/>
  <c r="I19" i="7" s="1"/>
  <c r="H16" i="7"/>
  <c r="H19" i="7" s="1"/>
  <c r="G16" i="7"/>
  <c r="G19" i="7" s="1"/>
  <c r="F16" i="7"/>
  <c r="F19" i="7" s="1"/>
  <c r="E16" i="7"/>
  <c r="E19" i="7" s="1"/>
  <c r="D16" i="7"/>
  <c r="D19" i="7" s="1"/>
  <c r="C16" i="7"/>
  <c r="C19" i="7" s="1"/>
  <c r="L16" i="11"/>
  <c r="L19" i="11" s="1"/>
  <c r="K16" i="11"/>
  <c r="K19" i="11" s="1"/>
  <c r="J16" i="11"/>
  <c r="J19" i="11" s="1"/>
  <c r="I16" i="11"/>
  <c r="I19" i="11" s="1"/>
  <c r="H16" i="11"/>
  <c r="H19" i="11" s="1"/>
  <c r="G16" i="11"/>
  <c r="G19" i="11" s="1"/>
  <c r="F16" i="11"/>
  <c r="F19" i="11" s="1"/>
  <c r="E16" i="11"/>
  <c r="E19" i="11" s="1"/>
  <c r="D16" i="11"/>
  <c r="D19" i="11" s="1"/>
  <c r="C16" i="11"/>
  <c r="C19" i="11" s="1"/>
  <c r="L16" i="10"/>
  <c r="L19" i="10" s="1"/>
  <c r="K16" i="10"/>
  <c r="K19" i="10" s="1"/>
  <c r="J16" i="10"/>
  <c r="J19" i="10" s="1"/>
  <c r="I16" i="10"/>
  <c r="I19" i="10" s="1"/>
  <c r="H16" i="10"/>
  <c r="H19" i="10" s="1"/>
  <c r="G16" i="10"/>
  <c r="G19" i="10" s="1"/>
  <c r="F16" i="10"/>
  <c r="F19" i="10" s="1"/>
  <c r="E16" i="10"/>
  <c r="E19" i="10" s="1"/>
  <c r="D16" i="10"/>
  <c r="D19" i="10" s="1"/>
  <c r="C16" i="10"/>
  <c r="C19" i="10" s="1"/>
  <c r="L16" i="3"/>
  <c r="L19" i="3" s="1"/>
  <c r="K16" i="3"/>
  <c r="K19" i="3" s="1"/>
  <c r="J16" i="3"/>
  <c r="J19" i="3" s="1"/>
  <c r="I16" i="3"/>
  <c r="I19" i="3" s="1"/>
  <c r="H16" i="3"/>
  <c r="H19" i="3" s="1"/>
  <c r="G16" i="3"/>
  <c r="G19" i="3" s="1"/>
  <c r="F16" i="3"/>
  <c r="F19" i="3" s="1"/>
  <c r="E16" i="3"/>
  <c r="D16" i="3"/>
  <c r="D19" i="3" s="1"/>
  <c r="C16" i="3"/>
  <c r="C19" i="3" s="1"/>
  <c r="L16" i="2"/>
  <c r="L19" i="2" s="1"/>
  <c r="K16" i="2"/>
  <c r="K19" i="2" s="1"/>
  <c r="J16" i="2"/>
  <c r="J19" i="2" s="1"/>
  <c r="I16" i="2"/>
  <c r="I19" i="2" s="1"/>
  <c r="H16" i="2"/>
  <c r="H19" i="2" s="1"/>
  <c r="G16" i="2"/>
  <c r="G19" i="2" s="1"/>
  <c r="F16" i="2"/>
  <c r="F19" i="2" s="1"/>
  <c r="E16" i="2"/>
  <c r="E19" i="2" s="1"/>
  <c r="D16" i="2"/>
  <c r="D19" i="2" s="1"/>
  <c r="C16" i="2"/>
  <c r="L7" i="6"/>
  <c r="K7" i="6"/>
  <c r="J7" i="6"/>
  <c r="I7" i="6"/>
  <c r="H7" i="6"/>
  <c r="G7" i="6"/>
  <c r="F7" i="6"/>
  <c r="E7" i="6"/>
  <c r="D7" i="6"/>
  <c r="C7" i="6"/>
  <c r="C21" i="10"/>
  <c r="D21" i="10"/>
  <c r="E21" i="10"/>
  <c r="F21" i="10"/>
  <c r="G21" i="10"/>
  <c r="H21" i="10"/>
  <c r="I21" i="10"/>
  <c r="J21" i="10"/>
  <c r="K21" i="10"/>
  <c r="L21" i="10"/>
  <c r="C21" i="11"/>
  <c r="D21" i="11"/>
  <c r="E21" i="11"/>
  <c r="F21" i="11"/>
  <c r="G21" i="11"/>
  <c r="H21" i="11"/>
  <c r="I21" i="11"/>
  <c r="J21" i="11"/>
  <c r="K21" i="11"/>
  <c r="L21" i="11"/>
  <c r="C21" i="7"/>
  <c r="D21" i="7"/>
  <c r="E21" i="7"/>
  <c r="F21" i="7"/>
  <c r="G21" i="7"/>
  <c r="H21" i="7"/>
  <c r="I21" i="7"/>
  <c r="J21" i="7"/>
  <c r="K21" i="7"/>
  <c r="L21" i="7"/>
  <c r="C21" i="9"/>
  <c r="D21" i="9"/>
  <c r="E21" i="9"/>
  <c r="F21" i="9"/>
  <c r="G21" i="9"/>
  <c r="H21" i="9"/>
  <c r="I21" i="9"/>
  <c r="J21" i="9"/>
  <c r="K21" i="9"/>
  <c r="L21" i="9"/>
  <c r="C21" i="8"/>
  <c r="D21" i="8"/>
  <c r="E21" i="8"/>
  <c r="F21" i="8"/>
  <c r="G21" i="8"/>
  <c r="H21" i="8"/>
  <c r="I21" i="8"/>
  <c r="J21" i="8"/>
  <c r="K21" i="8"/>
  <c r="L21" i="8"/>
  <c r="C21" i="5"/>
  <c r="D21" i="5"/>
  <c r="E21" i="5"/>
  <c r="F21" i="5"/>
  <c r="G21" i="5"/>
  <c r="H21" i="5"/>
  <c r="I21" i="5"/>
  <c r="J21" i="5"/>
  <c r="K21" i="5"/>
  <c r="L21" i="5"/>
  <c r="C21" i="4"/>
  <c r="D21" i="4"/>
  <c r="E21" i="4"/>
  <c r="F21" i="4"/>
  <c r="G21" i="4"/>
  <c r="H21" i="4"/>
  <c r="J21" i="4"/>
  <c r="K21" i="4"/>
  <c r="L21" i="4"/>
  <c r="D21" i="2"/>
  <c r="E21" i="2"/>
  <c r="F21" i="2"/>
  <c r="G21" i="2"/>
  <c r="H21" i="2"/>
  <c r="I21" i="2"/>
  <c r="J21" i="2"/>
  <c r="K21" i="2"/>
  <c r="L21" i="2"/>
  <c r="C21" i="3"/>
  <c r="D21" i="3"/>
  <c r="F21" i="3"/>
  <c r="G21" i="3"/>
  <c r="H21" i="3"/>
  <c r="I21" i="3"/>
  <c r="J21" i="3"/>
  <c r="K21" i="3"/>
  <c r="L21" i="3"/>
  <c r="L19" i="6"/>
  <c r="K19" i="6"/>
  <c r="J19" i="6"/>
  <c r="I19" i="6"/>
  <c r="H19" i="6"/>
  <c r="G19" i="6"/>
  <c r="F19" i="6"/>
  <c r="E19" i="6"/>
  <c r="D19" i="6"/>
  <c r="C19" i="6"/>
  <c r="L9" i="6"/>
  <c r="L21" i="6" s="1"/>
  <c r="K9" i="6"/>
  <c r="K21" i="6" s="1"/>
  <c r="J9" i="6"/>
  <c r="J21" i="6" s="1"/>
  <c r="I9" i="6"/>
  <c r="I21" i="6" s="1"/>
  <c r="H9" i="6"/>
  <c r="H21" i="6" s="1"/>
  <c r="G9" i="6"/>
  <c r="F9" i="6"/>
  <c r="F21" i="6" s="1"/>
  <c r="E9" i="6"/>
  <c r="E21" i="6" s="1"/>
  <c r="D9" i="6"/>
  <c r="D21" i="6" s="1"/>
  <c r="C9" i="6"/>
  <c r="C21" i="6" s="1"/>
  <c r="I19" i="4" l="1"/>
  <c r="I21" i="4" s="1"/>
  <c r="G21" i="6"/>
  <c r="E19" i="3"/>
  <c r="E21" i="3" s="1"/>
  <c r="C19" i="2"/>
  <c r="C21" i="2" s="1"/>
  <c r="C118" i="6"/>
  <c r="C113" i="6"/>
  <c r="C108" i="6"/>
  <c r="C103" i="6"/>
  <c r="F25" i="1"/>
  <c r="D118" i="6"/>
  <c r="D113" i="6"/>
  <c r="D108" i="6"/>
  <c r="D103" i="6"/>
  <c r="E118" i="6"/>
  <c r="E113" i="6"/>
  <c r="E108" i="6"/>
  <c r="E103" i="6"/>
  <c r="F118" i="6"/>
  <c r="F113" i="6"/>
  <c r="F108" i="6"/>
  <c r="F103" i="6"/>
  <c r="G118" i="6"/>
  <c r="G113" i="6"/>
  <c r="G108" i="6"/>
  <c r="G103" i="6"/>
  <c r="H118" i="6"/>
  <c r="H113" i="6"/>
  <c r="H108" i="6"/>
  <c r="H103" i="6"/>
  <c r="I118" i="6"/>
  <c r="I113" i="6"/>
  <c r="I108" i="6"/>
  <c r="I103" i="6"/>
  <c r="J118" i="6"/>
  <c r="J113" i="6"/>
  <c r="J108" i="6"/>
  <c r="J103" i="6"/>
  <c r="K118" i="6"/>
  <c r="K113" i="6"/>
  <c r="K108" i="6"/>
  <c r="K103" i="6"/>
  <c r="L118" i="6"/>
  <c r="L113" i="6"/>
  <c r="L108" i="6"/>
  <c r="L103" i="6"/>
  <c r="L118" i="3"/>
  <c r="L113" i="3"/>
  <c r="L108" i="3"/>
  <c r="L103" i="3"/>
  <c r="K118" i="3"/>
  <c r="K113" i="3"/>
  <c r="K108" i="3"/>
  <c r="K103" i="3"/>
  <c r="J118" i="3"/>
  <c r="J113" i="3"/>
  <c r="J108" i="3"/>
  <c r="J103" i="3"/>
  <c r="I118" i="3"/>
  <c r="I113" i="3"/>
  <c r="I108" i="3"/>
  <c r="I103" i="3"/>
  <c r="H118" i="3"/>
  <c r="H113" i="3"/>
  <c r="H108" i="3"/>
  <c r="H103" i="3"/>
  <c r="G118" i="3"/>
  <c r="G113" i="3"/>
  <c r="G108" i="3"/>
  <c r="G103" i="3"/>
  <c r="F118" i="3"/>
  <c r="F113" i="3"/>
  <c r="F108" i="3"/>
  <c r="F103" i="3"/>
  <c r="E118" i="3"/>
  <c r="E113" i="3"/>
  <c r="E108" i="3"/>
  <c r="E103" i="3"/>
  <c r="D118" i="3"/>
  <c r="D113" i="3"/>
  <c r="D108" i="3"/>
  <c r="D103" i="3"/>
  <c r="C118" i="3"/>
  <c r="C113" i="3"/>
  <c r="C108" i="3"/>
  <c r="C103" i="3"/>
  <c r="D25" i="1"/>
  <c r="L118" i="4"/>
  <c r="L113" i="4"/>
  <c r="L108" i="4"/>
  <c r="L103" i="4"/>
  <c r="K118" i="4"/>
  <c r="K113" i="4"/>
  <c r="K108" i="4"/>
  <c r="K103" i="4"/>
  <c r="J118" i="4"/>
  <c r="J113" i="4"/>
  <c r="J108" i="4"/>
  <c r="J103" i="4"/>
  <c r="I118" i="4"/>
  <c r="I113" i="4"/>
  <c r="I108" i="4"/>
  <c r="I103" i="4"/>
  <c r="H118" i="4"/>
  <c r="H113" i="4"/>
  <c r="H108" i="4"/>
  <c r="H103" i="4"/>
  <c r="G118" i="4"/>
  <c r="G113" i="4"/>
  <c r="G108" i="4"/>
  <c r="G103" i="4"/>
  <c r="F118" i="4"/>
  <c r="F113" i="4"/>
  <c r="F108" i="4"/>
  <c r="F103" i="4"/>
  <c r="E118" i="4"/>
  <c r="E113" i="4"/>
  <c r="E108" i="4"/>
  <c r="E103" i="4"/>
  <c r="D118" i="4"/>
  <c r="D113" i="4"/>
  <c r="D108" i="4"/>
  <c r="D103" i="4"/>
  <c r="C118" i="4"/>
  <c r="B119" i="4" s="1"/>
  <c r="T124" i="4" s="1"/>
  <c r="C113" i="4"/>
  <c r="B114" i="4" s="1"/>
  <c r="S124" i="4" s="1"/>
  <c r="C108" i="4"/>
  <c r="B109" i="4" s="1"/>
  <c r="R124" i="4" s="1"/>
  <c r="C103" i="4"/>
  <c r="B104" i="4" s="1"/>
  <c r="Q124" i="4" s="1"/>
  <c r="H25" i="1"/>
  <c r="L118" i="5"/>
  <c r="L113" i="5"/>
  <c r="L108" i="5"/>
  <c r="L103" i="5"/>
  <c r="K118" i="5"/>
  <c r="K113" i="5"/>
  <c r="K108" i="5"/>
  <c r="K103" i="5"/>
  <c r="J118" i="5"/>
  <c r="J113" i="5"/>
  <c r="J108" i="5"/>
  <c r="J103" i="5"/>
  <c r="I118" i="5"/>
  <c r="I113" i="5"/>
  <c r="I108" i="5"/>
  <c r="I103" i="5"/>
  <c r="H118" i="5"/>
  <c r="H113" i="5"/>
  <c r="H108" i="5"/>
  <c r="H103" i="5"/>
  <c r="G118" i="5"/>
  <c r="G113" i="5"/>
  <c r="G108" i="5"/>
  <c r="G103" i="5"/>
  <c r="F118" i="5"/>
  <c r="F113" i="5"/>
  <c r="F108" i="5"/>
  <c r="F103" i="5"/>
  <c r="E118" i="5"/>
  <c r="E113" i="5"/>
  <c r="E108" i="5"/>
  <c r="E103" i="5"/>
  <c r="D118" i="5"/>
  <c r="D113" i="5"/>
  <c r="D108" i="5"/>
  <c r="D103" i="5"/>
  <c r="C118" i="5"/>
  <c r="B119" i="5" s="1"/>
  <c r="T124" i="5" s="1"/>
  <c r="C113" i="5"/>
  <c r="B114" i="5" s="1"/>
  <c r="S124" i="5" s="1"/>
  <c r="C108" i="5"/>
  <c r="B109" i="5" s="1"/>
  <c r="R124" i="5" s="1"/>
  <c r="C103" i="5"/>
  <c r="B104" i="5" s="1"/>
  <c r="Q124" i="5" s="1"/>
  <c r="J25" i="1"/>
  <c r="L118" i="8"/>
  <c r="L113" i="8"/>
  <c r="L108" i="8"/>
  <c r="L103" i="8"/>
  <c r="K118" i="8"/>
  <c r="K113" i="8"/>
  <c r="K108" i="8"/>
  <c r="K103" i="8"/>
  <c r="J118" i="8"/>
  <c r="J113" i="8"/>
  <c r="J108" i="8"/>
  <c r="J103" i="8"/>
  <c r="I118" i="8"/>
  <c r="I113" i="8"/>
  <c r="I108" i="8"/>
  <c r="I103" i="8"/>
  <c r="H118" i="8"/>
  <c r="H113" i="8"/>
  <c r="H108" i="8"/>
  <c r="H103" i="8"/>
  <c r="G118" i="8"/>
  <c r="G113" i="8"/>
  <c r="G108" i="8"/>
  <c r="G103" i="8"/>
  <c r="F118" i="8"/>
  <c r="F113" i="8"/>
  <c r="F108" i="8"/>
  <c r="F103" i="8"/>
  <c r="E118" i="8"/>
  <c r="E113" i="8"/>
  <c r="E108" i="8"/>
  <c r="E103" i="8"/>
  <c r="D118" i="8"/>
  <c r="D113" i="8"/>
  <c r="D108" i="8"/>
  <c r="D103" i="8"/>
  <c r="C118" i="8"/>
  <c r="B119" i="8" s="1"/>
  <c r="T124" i="8" s="1"/>
  <c r="C113" i="8"/>
  <c r="B114" i="8" s="1"/>
  <c r="S124" i="8" s="1"/>
  <c r="C108" i="8"/>
  <c r="B109" i="8" s="1"/>
  <c r="R124" i="8" s="1"/>
  <c r="C103" i="8"/>
  <c r="B104" i="8" s="1"/>
  <c r="Q124" i="8" s="1"/>
  <c r="K25" i="1"/>
  <c r="L118" i="9"/>
  <c r="L113" i="9"/>
  <c r="L108" i="9"/>
  <c r="L103" i="9"/>
  <c r="K118" i="9"/>
  <c r="K113" i="9"/>
  <c r="K108" i="9"/>
  <c r="K103" i="9"/>
  <c r="J118" i="9"/>
  <c r="J113" i="9"/>
  <c r="J108" i="9"/>
  <c r="J103" i="9"/>
  <c r="I118" i="9"/>
  <c r="I113" i="9"/>
  <c r="I108" i="9"/>
  <c r="I103" i="9"/>
  <c r="H118" i="9"/>
  <c r="H113" i="9"/>
  <c r="H108" i="9"/>
  <c r="H103" i="9"/>
  <c r="G118" i="9"/>
  <c r="G113" i="9"/>
  <c r="G108" i="9"/>
  <c r="G103" i="9"/>
  <c r="F118" i="9"/>
  <c r="F113" i="9"/>
  <c r="F108" i="9"/>
  <c r="F103" i="9"/>
  <c r="E118" i="9"/>
  <c r="E113" i="9"/>
  <c r="E108" i="9"/>
  <c r="E103" i="9"/>
  <c r="D118" i="9"/>
  <c r="D113" i="9"/>
  <c r="D108" i="9"/>
  <c r="D103" i="9"/>
  <c r="C118" i="9"/>
  <c r="B119" i="9" s="1"/>
  <c r="T124" i="9" s="1"/>
  <c r="C113" i="9"/>
  <c r="B114" i="9" s="1"/>
  <c r="S124" i="9" s="1"/>
  <c r="C108" i="9"/>
  <c r="B109" i="9" s="1"/>
  <c r="R124" i="9" s="1"/>
  <c r="C103" i="9"/>
  <c r="B104" i="9" s="1"/>
  <c r="Q124" i="9" s="1"/>
  <c r="L25" i="1"/>
  <c r="L118" i="7"/>
  <c r="L113" i="7"/>
  <c r="L108" i="7"/>
  <c r="L103" i="7"/>
  <c r="K118" i="7"/>
  <c r="K113" i="7"/>
  <c r="K108" i="7"/>
  <c r="K103" i="7"/>
  <c r="J118" i="7"/>
  <c r="J113" i="7"/>
  <c r="J108" i="7"/>
  <c r="J103" i="7"/>
  <c r="I118" i="7"/>
  <c r="I113" i="7"/>
  <c r="I108" i="7"/>
  <c r="I103" i="7"/>
  <c r="H118" i="7"/>
  <c r="H113" i="7"/>
  <c r="H108" i="7"/>
  <c r="H103" i="7"/>
  <c r="G118" i="7"/>
  <c r="G113" i="7"/>
  <c r="G108" i="7"/>
  <c r="G103" i="7"/>
  <c r="F118" i="7"/>
  <c r="F113" i="7"/>
  <c r="F108" i="7"/>
  <c r="F103" i="7"/>
  <c r="E118" i="7"/>
  <c r="E113" i="7"/>
  <c r="E108" i="7"/>
  <c r="E103" i="7"/>
  <c r="D118" i="7"/>
  <c r="D113" i="7"/>
  <c r="D108" i="7"/>
  <c r="D103" i="7"/>
  <c r="C118" i="7"/>
  <c r="B119" i="7" s="1"/>
  <c r="T124" i="7" s="1"/>
  <c r="C113" i="7"/>
  <c r="B114" i="7" s="1"/>
  <c r="S124" i="7" s="1"/>
  <c r="C108" i="7"/>
  <c r="B109" i="7" s="1"/>
  <c r="R124" i="7" s="1"/>
  <c r="C103" i="7"/>
  <c r="B104" i="7" s="1"/>
  <c r="Q124" i="7" s="1"/>
  <c r="M25" i="1"/>
  <c r="L118" i="11"/>
  <c r="L113" i="11"/>
  <c r="L108" i="11"/>
  <c r="L103" i="11"/>
  <c r="K118" i="11"/>
  <c r="K113" i="11"/>
  <c r="K108" i="11"/>
  <c r="K103" i="11"/>
  <c r="J118" i="11"/>
  <c r="J113" i="11"/>
  <c r="J108" i="11"/>
  <c r="J103" i="11"/>
  <c r="I118" i="11"/>
  <c r="I113" i="11"/>
  <c r="I108" i="11"/>
  <c r="I103" i="11"/>
  <c r="H118" i="11"/>
  <c r="H113" i="11"/>
  <c r="H108" i="11"/>
  <c r="H103" i="11"/>
  <c r="G118" i="11"/>
  <c r="G113" i="11"/>
  <c r="G108" i="11"/>
  <c r="G103" i="11"/>
  <c r="F118" i="11"/>
  <c r="F113" i="11"/>
  <c r="F108" i="11"/>
  <c r="F103" i="11"/>
  <c r="E118" i="11"/>
  <c r="E113" i="11"/>
  <c r="E108" i="11"/>
  <c r="E103" i="11"/>
  <c r="D118" i="11"/>
  <c r="D113" i="11"/>
  <c r="D108" i="11"/>
  <c r="D103" i="11"/>
  <c r="C118" i="11"/>
  <c r="B119" i="11" s="1"/>
  <c r="T124" i="11" s="1"/>
  <c r="C113" i="11"/>
  <c r="B114" i="11" s="1"/>
  <c r="S124" i="11" s="1"/>
  <c r="C108" i="11"/>
  <c r="B109" i="11" s="1"/>
  <c r="R124" i="11" s="1"/>
  <c r="C103" i="11"/>
  <c r="B104" i="11" s="1"/>
  <c r="Q124" i="11" s="1"/>
  <c r="N25" i="1"/>
  <c r="L118" i="10"/>
  <c r="L113" i="10"/>
  <c r="L108" i="10"/>
  <c r="L103" i="10"/>
  <c r="K118" i="10"/>
  <c r="K113" i="10"/>
  <c r="K108" i="10"/>
  <c r="K103" i="10"/>
  <c r="J118" i="10"/>
  <c r="J113" i="10"/>
  <c r="J108" i="10"/>
  <c r="J103" i="10"/>
  <c r="I118" i="10"/>
  <c r="I113" i="10"/>
  <c r="I108" i="10"/>
  <c r="I103" i="10"/>
  <c r="H118" i="10"/>
  <c r="H113" i="10"/>
  <c r="H108" i="10"/>
  <c r="H103" i="10"/>
  <c r="G118" i="10"/>
  <c r="G113" i="10"/>
  <c r="G108" i="10"/>
  <c r="G103" i="10"/>
  <c r="F118" i="10"/>
  <c r="F113" i="10"/>
  <c r="F108" i="10"/>
  <c r="F103" i="10"/>
  <c r="E118" i="10"/>
  <c r="E113" i="10"/>
  <c r="E108" i="10"/>
  <c r="E103" i="10"/>
  <c r="D118" i="10"/>
  <c r="D113" i="10"/>
  <c r="D108" i="10"/>
  <c r="D103" i="10"/>
  <c r="C118" i="10"/>
  <c r="B119" i="10" s="1"/>
  <c r="T124" i="10" s="1"/>
  <c r="C113" i="10"/>
  <c r="B114" i="10" s="1"/>
  <c r="S124" i="10" s="1"/>
  <c r="C108" i="10"/>
  <c r="B109" i="10" s="1"/>
  <c r="R124" i="10" s="1"/>
  <c r="C103" i="10"/>
  <c r="B104" i="10" s="1"/>
  <c r="Q124" i="10" s="1"/>
  <c r="O25" i="1"/>
  <c r="L118" i="12"/>
  <c r="L113" i="12"/>
  <c r="L108" i="12"/>
  <c r="L103" i="12"/>
  <c r="K118" i="12"/>
  <c r="K113" i="12"/>
  <c r="K108" i="12"/>
  <c r="K103" i="12"/>
  <c r="J118" i="12"/>
  <c r="J113" i="12"/>
  <c r="J108" i="12"/>
  <c r="J103" i="12"/>
  <c r="I118" i="12"/>
  <c r="I113" i="12"/>
  <c r="I108" i="12"/>
  <c r="I103" i="12"/>
  <c r="H118" i="12"/>
  <c r="H113" i="12"/>
  <c r="H108" i="12"/>
  <c r="H103" i="12"/>
  <c r="G118" i="12"/>
  <c r="G113" i="12"/>
  <c r="G108" i="12"/>
  <c r="G103" i="12"/>
  <c r="F118" i="12"/>
  <c r="F113" i="12"/>
  <c r="F108" i="12"/>
  <c r="F103" i="12"/>
  <c r="E118" i="12"/>
  <c r="E113" i="12"/>
  <c r="E108" i="12"/>
  <c r="E103" i="12"/>
  <c r="D118" i="12"/>
  <c r="D113" i="12"/>
  <c r="D108" i="12"/>
  <c r="D103" i="12"/>
  <c r="C118" i="12"/>
  <c r="C113" i="12"/>
  <c r="C108" i="12"/>
  <c r="C103" i="12"/>
  <c r="G25" i="1"/>
  <c r="L118" i="13"/>
  <c r="L113" i="13"/>
  <c r="L108" i="13"/>
  <c r="L103" i="13"/>
  <c r="K118" i="13"/>
  <c r="K113" i="13"/>
  <c r="K108" i="13"/>
  <c r="K103" i="13"/>
  <c r="J118" i="13"/>
  <c r="J113" i="13"/>
  <c r="J108" i="13"/>
  <c r="J103" i="13"/>
  <c r="I118" i="13"/>
  <c r="I113" i="13"/>
  <c r="I108" i="13"/>
  <c r="I103" i="13"/>
  <c r="H118" i="13"/>
  <c r="H113" i="13"/>
  <c r="H108" i="13"/>
  <c r="H103" i="13"/>
  <c r="G118" i="13"/>
  <c r="G113" i="13"/>
  <c r="G108" i="13"/>
  <c r="G103" i="13"/>
  <c r="F118" i="13"/>
  <c r="F113" i="13"/>
  <c r="F108" i="13"/>
  <c r="F103" i="13"/>
  <c r="E118" i="13"/>
  <c r="E113" i="13"/>
  <c r="E108" i="13"/>
  <c r="E103" i="13"/>
  <c r="D118" i="13"/>
  <c r="D113" i="13"/>
  <c r="D108" i="13"/>
  <c r="D103" i="13"/>
  <c r="C118" i="13"/>
  <c r="C113" i="13"/>
  <c r="C108" i="13"/>
  <c r="C103" i="13"/>
  <c r="E25" i="1"/>
  <c r="L118" i="14"/>
  <c r="L113" i="14"/>
  <c r="L108" i="14"/>
  <c r="L103" i="14"/>
  <c r="K118" i="14"/>
  <c r="K113" i="14"/>
  <c r="K108" i="14"/>
  <c r="K103" i="14"/>
  <c r="J118" i="14"/>
  <c r="J113" i="14"/>
  <c r="J108" i="14"/>
  <c r="J103" i="14"/>
  <c r="I118" i="14"/>
  <c r="I113" i="14"/>
  <c r="I108" i="14"/>
  <c r="I103" i="14"/>
  <c r="H118" i="14"/>
  <c r="H113" i="14"/>
  <c r="H108" i="14"/>
  <c r="H103" i="14"/>
  <c r="G118" i="14"/>
  <c r="G113" i="14"/>
  <c r="G108" i="14"/>
  <c r="G103" i="14"/>
  <c r="F118" i="14"/>
  <c r="F113" i="14"/>
  <c r="F108" i="14"/>
  <c r="F103" i="14"/>
  <c r="E118" i="14"/>
  <c r="E113" i="14"/>
  <c r="E108" i="14"/>
  <c r="E103" i="14"/>
  <c r="D118" i="14"/>
  <c r="D113" i="14"/>
  <c r="D108" i="14"/>
  <c r="D103" i="14"/>
  <c r="C118" i="14"/>
  <c r="C113" i="14"/>
  <c r="C108" i="14"/>
  <c r="C103" i="14"/>
  <c r="I25" i="1"/>
  <c r="L118" i="15"/>
  <c r="L113" i="15"/>
  <c r="L108" i="15"/>
  <c r="L103" i="15"/>
  <c r="K118" i="15"/>
  <c r="K113" i="15"/>
  <c r="K108" i="15"/>
  <c r="K103" i="15"/>
  <c r="J118" i="15"/>
  <c r="J113" i="15"/>
  <c r="J108" i="15"/>
  <c r="J103" i="15"/>
  <c r="I118" i="15"/>
  <c r="I113" i="15"/>
  <c r="I108" i="15"/>
  <c r="I103" i="15"/>
  <c r="H118" i="15"/>
  <c r="H113" i="15"/>
  <c r="H108" i="15"/>
  <c r="H103" i="15"/>
  <c r="G118" i="15"/>
  <c r="G113" i="15"/>
  <c r="G108" i="15"/>
  <c r="G103" i="15"/>
  <c r="F118" i="15"/>
  <c r="F113" i="15"/>
  <c r="F108" i="15"/>
  <c r="F103" i="15"/>
  <c r="E118" i="15"/>
  <c r="E113" i="15"/>
  <c r="E108" i="15"/>
  <c r="E103" i="15"/>
  <c r="D118" i="15"/>
  <c r="D113" i="15"/>
  <c r="D108" i="15"/>
  <c r="D103" i="15"/>
  <c r="C118" i="15"/>
  <c r="B119" i="15" s="1"/>
  <c r="T124" i="15" s="1"/>
  <c r="C113" i="15"/>
  <c r="B114" i="15" s="1"/>
  <c r="S124" i="15" s="1"/>
  <c r="C108" i="15"/>
  <c r="B109" i="15" s="1"/>
  <c r="R124" i="15" s="1"/>
  <c r="C103" i="15"/>
  <c r="B104" i="15" s="1"/>
  <c r="Q124" i="15" s="1"/>
  <c r="C25" i="1"/>
  <c r="B104" i="14"/>
  <c r="Q124" i="14" s="1"/>
  <c r="B109" i="14"/>
  <c r="R124" i="14" s="1"/>
  <c r="B114" i="14"/>
  <c r="S124" i="14" s="1"/>
  <c r="B119" i="14"/>
  <c r="T124" i="14" s="1"/>
  <c r="B104" i="13"/>
  <c r="Q124" i="13" s="1"/>
  <c r="B109" i="13"/>
  <c r="R124" i="13" s="1"/>
  <c r="B114" i="13"/>
  <c r="S124" i="13" s="1"/>
  <c r="B119" i="13"/>
  <c r="T124" i="13" s="1"/>
  <c r="B104" i="12"/>
  <c r="Q124" i="12" s="1"/>
  <c r="B109" i="12"/>
  <c r="R124" i="12" s="1"/>
  <c r="B114" i="12"/>
  <c r="S124" i="12" s="1"/>
  <c r="B119" i="12"/>
  <c r="T124" i="12" s="1"/>
  <c r="B104" i="3"/>
  <c r="Q124" i="3" s="1"/>
  <c r="B109" i="3"/>
  <c r="R124" i="3" s="1"/>
  <c r="B114" i="3"/>
  <c r="S124" i="3" s="1"/>
  <c r="B119" i="3"/>
  <c r="T124" i="3" s="1"/>
  <c r="L118" i="2"/>
  <c r="L113" i="2"/>
  <c r="K118" i="2"/>
  <c r="K113" i="2"/>
  <c r="J118" i="2"/>
  <c r="J113" i="2"/>
  <c r="I118" i="2"/>
  <c r="I113" i="2"/>
  <c r="H118" i="2"/>
  <c r="H113" i="2"/>
  <c r="G118" i="2"/>
  <c r="G113" i="2"/>
  <c r="F118" i="2"/>
  <c r="F113" i="2"/>
  <c r="E118" i="2"/>
  <c r="E113" i="2"/>
  <c r="D118" i="2"/>
  <c r="D113" i="2"/>
  <c r="C118" i="2"/>
  <c r="C113" i="2"/>
  <c r="B114" i="2"/>
  <c r="S124" i="2" s="1"/>
  <c r="B119" i="2"/>
  <c r="T124" i="2" s="1"/>
  <c r="L108" i="2"/>
  <c r="L103" i="2"/>
  <c r="K108" i="2"/>
  <c r="K103" i="2"/>
  <c r="J108" i="2"/>
  <c r="J103" i="2"/>
  <c r="I108" i="2"/>
  <c r="I103" i="2"/>
  <c r="H108" i="2"/>
  <c r="H103" i="2"/>
  <c r="G108" i="2"/>
  <c r="G103" i="2"/>
  <c r="F108" i="2"/>
  <c r="F103" i="2"/>
  <c r="E108" i="2"/>
  <c r="E103" i="2"/>
  <c r="D108" i="2"/>
  <c r="D103" i="2"/>
  <c r="B25" i="1"/>
  <c r="C108" i="2"/>
  <c r="C103" i="2"/>
  <c r="B104" i="2"/>
  <c r="Q124" i="2" s="1"/>
  <c r="B109" i="2"/>
  <c r="R124" i="2" s="1"/>
  <c r="L98" i="15"/>
  <c r="L93" i="15"/>
  <c r="L88" i="15"/>
  <c r="L83" i="15"/>
  <c r="L78" i="15"/>
  <c r="L73" i="15"/>
  <c r="L68" i="15"/>
  <c r="L63" i="15"/>
  <c r="L58" i="15"/>
  <c r="L53" i="15"/>
  <c r="L48" i="15"/>
  <c r="L43" i="15"/>
  <c r="L38" i="15"/>
  <c r="L33" i="15"/>
  <c r="L28" i="15"/>
  <c r="K98" i="15"/>
  <c r="K93" i="15"/>
  <c r="K88" i="15"/>
  <c r="K83" i="15"/>
  <c r="K78" i="15"/>
  <c r="K73" i="15"/>
  <c r="K68" i="15"/>
  <c r="K63" i="15"/>
  <c r="K58" i="15"/>
  <c r="K53" i="15"/>
  <c r="K48" i="15"/>
  <c r="K43" i="15"/>
  <c r="K38" i="15"/>
  <c r="K33" i="15"/>
  <c r="K28" i="15"/>
  <c r="J98" i="15"/>
  <c r="J93" i="15"/>
  <c r="J88" i="15"/>
  <c r="J83" i="15"/>
  <c r="J78" i="15"/>
  <c r="J73" i="15"/>
  <c r="J68" i="15"/>
  <c r="J63" i="15"/>
  <c r="J58" i="15"/>
  <c r="J53" i="15"/>
  <c r="J48" i="15"/>
  <c r="J43" i="15"/>
  <c r="J38" i="15"/>
  <c r="J33" i="15"/>
  <c r="J28" i="15"/>
  <c r="I98" i="15"/>
  <c r="I93" i="15"/>
  <c r="I88" i="15"/>
  <c r="I83" i="15"/>
  <c r="I78" i="15"/>
  <c r="I73" i="15"/>
  <c r="I68" i="15"/>
  <c r="I63" i="15"/>
  <c r="I58" i="15"/>
  <c r="I53" i="15"/>
  <c r="I48" i="15"/>
  <c r="I43" i="15"/>
  <c r="I38" i="15"/>
  <c r="I33" i="15"/>
  <c r="I28" i="15"/>
  <c r="H98" i="15"/>
  <c r="H93" i="15"/>
  <c r="H88" i="15"/>
  <c r="H83" i="15"/>
  <c r="H78" i="15"/>
  <c r="H73" i="15"/>
  <c r="H68" i="15"/>
  <c r="H63" i="15"/>
  <c r="H58" i="15"/>
  <c r="H53" i="15"/>
  <c r="H48" i="15"/>
  <c r="H43" i="15"/>
  <c r="H38" i="15"/>
  <c r="H33" i="15"/>
  <c r="H28" i="15"/>
  <c r="G98" i="15"/>
  <c r="G93" i="15"/>
  <c r="G88" i="15"/>
  <c r="G83" i="15"/>
  <c r="G78" i="15"/>
  <c r="G73" i="15"/>
  <c r="G68" i="15"/>
  <c r="G63" i="15"/>
  <c r="G58" i="15"/>
  <c r="G53" i="15"/>
  <c r="G48" i="15"/>
  <c r="G43" i="15"/>
  <c r="G38" i="15"/>
  <c r="G33" i="15"/>
  <c r="G28" i="15"/>
  <c r="F98" i="15"/>
  <c r="F93" i="15"/>
  <c r="F88" i="15"/>
  <c r="F83" i="15"/>
  <c r="F78" i="15"/>
  <c r="F73" i="15"/>
  <c r="F68" i="15"/>
  <c r="F63" i="15"/>
  <c r="F58" i="15"/>
  <c r="F53" i="15"/>
  <c r="F48" i="15"/>
  <c r="F43" i="15"/>
  <c r="F38" i="15"/>
  <c r="F33" i="15"/>
  <c r="F28" i="15"/>
  <c r="E98" i="15"/>
  <c r="E93" i="15"/>
  <c r="E88" i="15"/>
  <c r="E83" i="15"/>
  <c r="E78" i="15"/>
  <c r="E73" i="15"/>
  <c r="E68" i="15"/>
  <c r="E63" i="15"/>
  <c r="E58" i="15"/>
  <c r="E53" i="15"/>
  <c r="E48" i="15"/>
  <c r="E43" i="15"/>
  <c r="E38" i="15"/>
  <c r="E33" i="15"/>
  <c r="E28" i="15"/>
  <c r="D98" i="15"/>
  <c r="D93" i="15"/>
  <c r="D88" i="15"/>
  <c r="D83" i="15"/>
  <c r="D78" i="15"/>
  <c r="D73" i="15"/>
  <c r="D68" i="15"/>
  <c r="D63" i="15"/>
  <c r="D58" i="15"/>
  <c r="D53" i="15"/>
  <c r="D48" i="15"/>
  <c r="D43" i="15"/>
  <c r="D38" i="15"/>
  <c r="D33" i="15"/>
  <c r="D28" i="15"/>
  <c r="C98" i="15"/>
  <c r="B99" i="15" s="1"/>
  <c r="P124" i="15" s="1"/>
  <c r="C93" i="15"/>
  <c r="B94" i="15" s="1"/>
  <c r="O124" i="15" s="1"/>
  <c r="C88" i="15"/>
  <c r="B89" i="15" s="1"/>
  <c r="N124" i="15" s="1"/>
  <c r="C83" i="15"/>
  <c r="B84" i="15" s="1"/>
  <c r="M124" i="15" s="1"/>
  <c r="C78" i="15"/>
  <c r="B79" i="15" s="1"/>
  <c r="L124" i="15" s="1"/>
  <c r="C73" i="15"/>
  <c r="B74" i="15" s="1"/>
  <c r="K124" i="15" s="1"/>
  <c r="C68" i="15"/>
  <c r="B69" i="15" s="1"/>
  <c r="J124" i="15" s="1"/>
  <c r="C63" i="15"/>
  <c r="B64" i="15" s="1"/>
  <c r="I124" i="15" s="1"/>
  <c r="C58" i="15"/>
  <c r="B59" i="15" s="1"/>
  <c r="H124" i="15" s="1"/>
  <c r="C53" i="15"/>
  <c r="B54" i="15" s="1"/>
  <c r="G124" i="15" s="1"/>
  <c r="C48" i="15"/>
  <c r="B49" i="15" s="1"/>
  <c r="F124" i="15" s="1"/>
  <c r="C43" i="15"/>
  <c r="B44" i="15" s="1"/>
  <c r="E124" i="15" s="1"/>
  <c r="C38" i="15"/>
  <c r="B39" i="15" s="1"/>
  <c r="D124" i="15" s="1"/>
  <c r="C33" i="15"/>
  <c r="B34" i="15" s="1"/>
  <c r="C124" i="15" s="1"/>
  <c r="C28" i="15"/>
  <c r="B29" i="15" s="1"/>
  <c r="B124" i="15" s="1"/>
  <c r="B23" i="15"/>
  <c r="L98" i="14"/>
  <c r="L93" i="14"/>
  <c r="L88" i="14"/>
  <c r="L83" i="14"/>
  <c r="L78" i="14"/>
  <c r="L73" i="14"/>
  <c r="L68" i="14"/>
  <c r="L63" i="14"/>
  <c r="L58" i="14"/>
  <c r="L53" i="14"/>
  <c r="L48" i="14"/>
  <c r="L43" i="14"/>
  <c r="L38" i="14"/>
  <c r="L33" i="14"/>
  <c r="L28" i="14"/>
  <c r="K98" i="14"/>
  <c r="K93" i="14"/>
  <c r="K88" i="14"/>
  <c r="K83" i="14"/>
  <c r="K78" i="14"/>
  <c r="K73" i="14"/>
  <c r="K68" i="14"/>
  <c r="K63" i="14"/>
  <c r="K58" i="14"/>
  <c r="K53" i="14"/>
  <c r="K48" i="14"/>
  <c r="K43" i="14"/>
  <c r="K38" i="14"/>
  <c r="K33" i="14"/>
  <c r="K28" i="14"/>
  <c r="J98" i="14"/>
  <c r="J93" i="14"/>
  <c r="J88" i="14"/>
  <c r="J83" i="14"/>
  <c r="J78" i="14"/>
  <c r="J73" i="14"/>
  <c r="J68" i="14"/>
  <c r="J63" i="14"/>
  <c r="J58" i="14"/>
  <c r="J53" i="14"/>
  <c r="J48" i="14"/>
  <c r="J43" i="14"/>
  <c r="J38" i="14"/>
  <c r="J33" i="14"/>
  <c r="J28" i="14"/>
  <c r="I98" i="14"/>
  <c r="I93" i="14"/>
  <c r="I88" i="14"/>
  <c r="I83" i="14"/>
  <c r="I78" i="14"/>
  <c r="I73" i="14"/>
  <c r="I68" i="14"/>
  <c r="I63" i="14"/>
  <c r="I58" i="14"/>
  <c r="I53" i="14"/>
  <c r="I48" i="14"/>
  <c r="I43" i="14"/>
  <c r="I38" i="14"/>
  <c r="I33" i="14"/>
  <c r="I28" i="14"/>
  <c r="H98" i="14"/>
  <c r="H93" i="14"/>
  <c r="H88" i="14"/>
  <c r="H83" i="14"/>
  <c r="H78" i="14"/>
  <c r="H73" i="14"/>
  <c r="H68" i="14"/>
  <c r="H63" i="14"/>
  <c r="H58" i="14"/>
  <c r="H53" i="14"/>
  <c r="H48" i="14"/>
  <c r="H43" i="14"/>
  <c r="H38" i="14"/>
  <c r="H33" i="14"/>
  <c r="H28" i="14"/>
  <c r="G98" i="14"/>
  <c r="G93" i="14"/>
  <c r="G88" i="14"/>
  <c r="G83" i="14"/>
  <c r="G78" i="14"/>
  <c r="G73" i="14"/>
  <c r="G68" i="14"/>
  <c r="G63" i="14"/>
  <c r="G58" i="14"/>
  <c r="G53" i="14"/>
  <c r="G48" i="14"/>
  <c r="G43" i="14"/>
  <c r="G38" i="14"/>
  <c r="G33" i="14"/>
  <c r="G28" i="14"/>
  <c r="F98" i="14"/>
  <c r="F93" i="14"/>
  <c r="F88" i="14"/>
  <c r="F83" i="14"/>
  <c r="F78" i="14"/>
  <c r="F73" i="14"/>
  <c r="F68" i="14"/>
  <c r="F63" i="14"/>
  <c r="F58" i="14"/>
  <c r="F53" i="14"/>
  <c r="F48" i="14"/>
  <c r="F43" i="14"/>
  <c r="F38" i="14"/>
  <c r="F33" i="14"/>
  <c r="F28" i="14"/>
  <c r="E98" i="14"/>
  <c r="E93" i="14"/>
  <c r="E88" i="14"/>
  <c r="E83" i="14"/>
  <c r="E78" i="14"/>
  <c r="E73" i="14"/>
  <c r="E68" i="14"/>
  <c r="E63" i="14"/>
  <c r="E58" i="14"/>
  <c r="E53" i="14"/>
  <c r="E48" i="14"/>
  <c r="E43" i="14"/>
  <c r="E38" i="14"/>
  <c r="E33" i="14"/>
  <c r="E28" i="14"/>
  <c r="D98" i="14"/>
  <c r="D93" i="14"/>
  <c r="D88" i="14"/>
  <c r="D83" i="14"/>
  <c r="D78" i="14"/>
  <c r="D73" i="14"/>
  <c r="D68" i="14"/>
  <c r="D63" i="14"/>
  <c r="D58" i="14"/>
  <c r="D53" i="14"/>
  <c r="D48" i="14"/>
  <c r="D43" i="14"/>
  <c r="D38" i="14"/>
  <c r="D33" i="14"/>
  <c r="D28" i="14"/>
  <c r="C98" i="14"/>
  <c r="B99" i="14" s="1"/>
  <c r="P124" i="14" s="1"/>
  <c r="C93" i="14"/>
  <c r="B94" i="14" s="1"/>
  <c r="O124" i="14" s="1"/>
  <c r="C88" i="14"/>
  <c r="B89" i="14" s="1"/>
  <c r="N124" i="14" s="1"/>
  <c r="C83" i="14"/>
  <c r="B84" i="14" s="1"/>
  <c r="M124" i="14" s="1"/>
  <c r="C78" i="14"/>
  <c r="B79" i="14" s="1"/>
  <c r="L124" i="14" s="1"/>
  <c r="C73" i="14"/>
  <c r="B74" i="14" s="1"/>
  <c r="K124" i="14" s="1"/>
  <c r="C68" i="14"/>
  <c r="B69" i="14" s="1"/>
  <c r="J124" i="14" s="1"/>
  <c r="C63" i="14"/>
  <c r="B64" i="14" s="1"/>
  <c r="I124" i="14" s="1"/>
  <c r="C58" i="14"/>
  <c r="B59" i="14" s="1"/>
  <c r="H124" i="14" s="1"/>
  <c r="C53" i="14"/>
  <c r="B54" i="14" s="1"/>
  <c r="G124" i="14" s="1"/>
  <c r="C48" i="14"/>
  <c r="B49" i="14" s="1"/>
  <c r="F124" i="14" s="1"/>
  <c r="C43" i="14"/>
  <c r="B44" i="14" s="1"/>
  <c r="E124" i="14" s="1"/>
  <c r="C38" i="14"/>
  <c r="B39" i="14" s="1"/>
  <c r="D124" i="14" s="1"/>
  <c r="C33" i="14"/>
  <c r="B34" i="14" s="1"/>
  <c r="C124" i="14" s="1"/>
  <c r="C28" i="14"/>
  <c r="B29" i="14" s="1"/>
  <c r="B124" i="14" s="1"/>
  <c r="B23" i="14"/>
  <c r="L98" i="13"/>
  <c r="L93" i="13"/>
  <c r="L88" i="13"/>
  <c r="L83" i="13"/>
  <c r="L78" i="13"/>
  <c r="L73" i="13"/>
  <c r="L68" i="13"/>
  <c r="L63" i="13"/>
  <c r="L58" i="13"/>
  <c r="L53" i="13"/>
  <c r="L48" i="13"/>
  <c r="L43" i="13"/>
  <c r="L38" i="13"/>
  <c r="L33" i="13"/>
  <c r="L28" i="13"/>
  <c r="K98" i="13"/>
  <c r="K93" i="13"/>
  <c r="K88" i="13"/>
  <c r="K83" i="13"/>
  <c r="K78" i="13"/>
  <c r="K73" i="13"/>
  <c r="K68" i="13"/>
  <c r="K63" i="13"/>
  <c r="K58" i="13"/>
  <c r="K53" i="13"/>
  <c r="K48" i="13"/>
  <c r="K43" i="13"/>
  <c r="K38" i="13"/>
  <c r="K33" i="13"/>
  <c r="K28" i="13"/>
  <c r="J98" i="13"/>
  <c r="J93" i="13"/>
  <c r="J88" i="13"/>
  <c r="J83" i="13"/>
  <c r="J78" i="13"/>
  <c r="J73" i="13"/>
  <c r="J68" i="13"/>
  <c r="J63" i="13"/>
  <c r="J58" i="13"/>
  <c r="J53" i="13"/>
  <c r="J48" i="13"/>
  <c r="J43" i="13"/>
  <c r="J38" i="13"/>
  <c r="J33" i="13"/>
  <c r="J28" i="13"/>
  <c r="I98" i="13"/>
  <c r="I93" i="13"/>
  <c r="I88" i="13"/>
  <c r="I83" i="13"/>
  <c r="I78" i="13"/>
  <c r="I73" i="13"/>
  <c r="I68" i="13"/>
  <c r="I63" i="13"/>
  <c r="I58" i="13"/>
  <c r="I53" i="13"/>
  <c r="I48" i="13"/>
  <c r="I43" i="13"/>
  <c r="I38" i="13"/>
  <c r="I33" i="13"/>
  <c r="I28" i="13"/>
  <c r="H98" i="13"/>
  <c r="H93" i="13"/>
  <c r="H88" i="13"/>
  <c r="H83" i="13"/>
  <c r="H78" i="13"/>
  <c r="H73" i="13"/>
  <c r="H68" i="13"/>
  <c r="H63" i="13"/>
  <c r="H58" i="13"/>
  <c r="H53" i="13"/>
  <c r="H48" i="13"/>
  <c r="H43" i="13"/>
  <c r="H38" i="13"/>
  <c r="H33" i="13"/>
  <c r="H28" i="13"/>
  <c r="G98" i="13"/>
  <c r="G93" i="13"/>
  <c r="G88" i="13"/>
  <c r="G83" i="13"/>
  <c r="G78" i="13"/>
  <c r="G73" i="13"/>
  <c r="G68" i="13"/>
  <c r="G63" i="13"/>
  <c r="G58" i="13"/>
  <c r="G53" i="13"/>
  <c r="G48" i="13"/>
  <c r="G43" i="13"/>
  <c r="G38" i="13"/>
  <c r="G33" i="13"/>
  <c r="G28" i="13"/>
  <c r="F98" i="13"/>
  <c r="F93" i="13"/>
  <c r="F88" i="13"/>
  <c r="F83" i="13"/>
  <c r="F78" i="13"/>
  <c r="F73" i="13"/>
  <c r="F68" i="13"/>
  <c r="F63" i="13"/>
  <c r="F58" i="13"/>
  <c r="F53" i="13"/>
  <c r="F48" i="13"/>
  <c r="F43" i="13"/>
  <c r="F38" i="13"/>
  <c r="F33" i="13"/>
  <c r="F28" i="13"/>
  <c r="E98" i="13"/>
  <c r="E93" i="13"/>
  <c r="E88" i="13"/>
  <c r="E83" i="13"/>
  <c r="E78" i="13"/>
  <c r="E73" i="13"/>
  <c r="E68" i="13"/>
  <c r="E63" i="13"/>
  <c r="E58" i="13"/>
  <c r="E53" i="13"/>
  <c r="E48" i="13"/>
  <c r="E43" i="13"/>
  <c r="E38" i="13"/>
  <c r="E33" i="13"/>
  <c r="E28" i="13"/>
  <c r="D98" i="13"/>
  <c r="D93" i="13"/>
  <c r="D88" i="13"/>
  <c r="D83" i="13"/>
  <c r="D78" i="13"/>
  <c r="D73" i="13"/>
  <c r="D68" i="13"/>
  <c r="D63" i="13"/>
  <c r="D58" i="13"/>
  <c r="D53" i="13"/>
  <c r="D48" i="13"/>
  <c r="D43" i="13"/>
  <c r="D38" i="13"/>
  <c r="D33" i="13"/>
  <c r="D28" i="13"/>
  <c r="C98" i="13"/>
  <c r="B99" i="13" s="1"/>
  <c r="P124" i="13" s="1"/>
  <c r="C93" i="13"/>
  <c r="B94" i="13" s="1"/>
  <c r="O124" i="13" s="1"/>
  <c r="C88" i="13"/>
  <c r="B89" i="13" s="1"/>
  <c r="N124" i="13" s="1"/>
  <c r="C83" i="13"/>
  <c r="B84" i="13" s="1"/>
  <c r="M124" i="13" s="1"/>
  <c r="C78" i="13"/>
  <c r="B79" i="13" s="1"/>
  <c r="L124" i="13" s="1"/>
  <c r="C73" i="13"/>
  <c r="B74" i="13" s="1"/>
  <c r="K124" i="13" s="1"/>
  <c r="C68" i="13"/>
  <c r="B69" i="13" s="1"/>
  <c r="J124" i="13" s="1"/>
  <c r="C63" i="13"/>
  <c r="B64" i="13" s="1"/>
  <c r="I124" i="13" s="1"/>
  <c r="C58" i="13"/>
  <c r="B59" i="13" s="1"/>
  <c r="H124" i="13" s="1"/>
  <c r="C53" i="13"/>
  <c r="B54" i="13" s="1"/>
  <c r="G124" i="13" s="1"/>
  <c r="C48" i="13"/>
  <c r="B49" i="13" s="1"/>
  <c r="F124" i="13" s="1"/>
  <c r="C43" i="13"/>
  <c r="B44" i="13" s="1"/>
  <c r="E124" i="13" s="1"/>
  <c r="C38" i="13"/>
  <c r="B39" i="13" s="1"/>
  <c r="D124" i="13" s="1"/>
  <c r="C33" i="13"/>
  <c r="B34" i="13" s="1"/>
  <c r="C124" i="13" s="1"/>
  <c r="C28" i="13"/>
  <c r="B29" i="13" s="1"/>
  <c r="B124" i="13" s="1"/>
  <c r="B23" i="13"/>
  <c r="L98" i="12"/>
  <c r="L93" i="12"/>
  <c r="L88" i="12"/>
  <c r="L83" i="12"/>
  <c r="L78" i="12"/>
  <c r="L73" i="12"/>
  <c r="L68" i="12"/>
  <c r="L63" i="12"/>
  <c r="L58" i="12"/>
  <c r="L53" i="12"/>
  <c r="L48" i="12"/>
  <c r="L43" i="12"/>
  <c r="L38" i="12"/>
  <c r="L33" i="12"/>
  <c r="L28" i="12"/>
  <c r="K98" i="12"/>
  <c r="K93" i="12"/>
  <c r="K88" i="12"/>
  <c r="K83" i="12"/>
  <c r="K78" i="12"/>
  <c r="K73" i="12"/>
  <c r="K68" i="12"/>
  <c r="K63" i="12"/>
  <c r="K58" i="12"/>
  <c r="K53" i="12"/>
  <c r="K48" i="12"/>
  <c r="K43" i="12"/>
  <c r="K38" i="12"/>
  <c r="K33" i="12"/>
  <c r="K28" i="12"/>
  <c r="J98" i="12"/>
  <c r="J93" i="12"/>
  <c r="J88" i="12"/>
  <c r="J83" i="12"/>
  <c r="J78" i="12"/>
  <c r="J73" i="12"/>
  <c r="J68" i="12"/>
  <c r="J63" i="12"/>
  <c r="J58" i="12"/>
  <c r="J53" i="12"/>
  <c r="J48" i="12"/>
  <c r="J43" i="12"/>
  <c r="J38" i="12"/>
  <c r="J33" i="12"/>
  <c r="J28" i="12"/>
  <c r="I98" i="12"/>
  <c r="I93" i="12"/>
  <c r="I88" i="12"/>
  <c r="I83" i="12"/>
  <c r="I78" i="12"/>
  <c r="I73" i="12"/>
  <c r="I68" i="12"/>
  <c r="I63" i="12"/>
  <c r="I58" i="12"/>
  <c r="I53" i="12"/>
  <c r="I48" i="12"/>
  <c r="I43" i="12"/>
  <c r="I38" i="12"/>
  <c r="I33" i="12"/>
  <c r="I28" i="12"/>
  <c r="H98" i="12"/>
  <c r="H93" i="12"/>
  <c r="H88" i="12"/>
  <c r="H83" i="12"/>
  <c r="H78" i="12"/>
  <c r="H73" i="12"/>
  <c r="H68" i="12"/>
  <c r="H63" i="12"/>
  <c r="H58" i="12"/>
  <c r="H53" i="12"/>
  <c r="H48" i="12"/>
  <c r="H43" i="12"/>
  <c r="H38" i="12"/>
  <c r="H33" i="12"/>
  <c r="H28" i="12"/>
  <c r="G98" i="12"/>
  <c r="G93" i="12"/>
  <c r="G88" i="12"/>
  <c r="G83" i="12"/>
  <c r="G78" i="12"/>
  <c r="G73" i="12"/>
  <c r="G68" i="12"/>
  <c r="G63" i="12"/>
  <c r="G58" i="12"/>
  <c r="G53" i="12"/>
  <c r="G48" i="12"/>
  <c r="G43" i="12"/>
  <c r="G38" i="12"/>
  <c r="G33" i="12"/>
  <c r="G28" i="12"/>
  <c r="F98" i="12"/>
  <c r="F93" i="12"/>
  <c r="F88" i="12"/>
  <c r="F83" i="12"/>
  <c r="F78" i="12"/>
  <c r="F73" i="12"/>
  <c r="F68" i="12"/>
  <c r="F63" i="12"/>
  <c r="F58" i="12"/>
  <c r="F53" i="12"/>
  <c r="F48" i="12"/>
  <c r="F43" i="12"/>
  <c r="F38" i="12"/>
  <c r="F33" i="12"/>
  <c r="F28" i="12"/>
  <c r="E98" i="12"/>
  <c r="E93" i="12"/>
  <c r="E88" i="12"/>
  <c r="E83" i="12"/>
  <c r="E78" i="12"/>
  <c r="E73" i="12"/>
  <c r="E68" i="12"/>
  <c r="E63" i="12"/>
  <c r="E58" i="12"/>
  <c r="E53" i="12"/>
  <c r="E48" i="12"/>
  <c r="E43" i="12"/>
  <c r="E38" i="12"/>
  <c r="E33" i="12"/>
  <c r="E28" i="12"/>
  <c r="D98" i="12"/>
  <c r="D93" i="12"/>
  <c r="D88" i="12"/>
  <c r="D83" i="12"/>
  <c r="D78" i="12"/>
  <c r="D73" i="12"/>
  <c r="D68" i="12"/>
  <c r="D63" i="12"/>
  <c r="D58" i="12"/>
  <c r="D53" i="12"/>
  <c r="D48" i="12"/>
  <c r="D43" i="12"/>
  <c r="D38" i="12"/>
  <c r="D33" i="12"/>
  <c r="D28" i="12"/>
  <c r="C98" i="12"/>
  <c r="B99" i="12" s="1"/>
  <c r="P124" i="12" s="1"/>
  <c r="C93" i="12"/>
  <c r="B94" i="12" s="1"/>
  <c r="O124" i="12" s="1"/>
  <c r="C88" i="12"/>
  <c r="B89" i="12" s="1"/>
  <c r="N124" i="12" s="1"/>
  <c r="C83" i="12"/>
  <c r="B84" i="12" s="1"/>
  <c r="M124" i="12" s="1"/>
  <c r="C78" i="12"/>
  <c r="B79" i="12" s="1"/>
  <c r="L124" i="12" s="1"/>
  <c r="C73" i="12"/>
  <c r="B74" i="12" s="1"/>
  <c r="K124" i="12" s="1"/>
  <c r="C68" i="12"/>
  <c r="B69" i="12" s="1"/>
  <c r="J124" i="12" s="1"/>
  <c r="C63" i="12"/>
  <c r="B64" i="12" s="1"/>
  <c r="I124" i="12" s="1"/>
  <c r="C58" i="12"/>
  <c r="B59" i="12" s="1"/>
  <c r="H124" i="12" s="1"/>
  <c r="C53" i="12"/>
  <c r="B54" i="12" s="1"/>
  <c r="G124" i="12" s="1"/>
  <c r="C48" i="12"/>
  <c r="B49" i="12" s="1"/>
  <c r="F124" i="12" s="1"/>
  <c r="C43" i="12"/>
  <c r="B44" i="12" s="1"/>
  <c r="E124" i="12" s="1"/>
  <c r="C38" i="12"/>
  <c r="B39" i="12" s="1"/>
  <c r="D124" i="12" s="1"/>
  <c r="C33" i="12"/>
  <c r="B34" i="12" s="1"/>
  <c r="C124" i="12" s="1"/>
  <c r="C28" i="12"/>
  <c r="B29" i="12" s="1"/>
  <c r="B124" i="12" s="1"/>
  <c r="B23" i="12"/>
  <c r="L98" i="10"/>
  <c r="L93" i="10"/>
  <c r="L88" i="10"/>
  <c r="L83" i="10"/>
  <c r="L78" i="10"/>
  <c r="L73" i="10"/>
  <c r="L68" i="10"/>
  <c r="L63" i="10"/>
  <c r="L58" i="10"/>
  <c r="L53" i="10"/>
  <c r="L48" i="10"/>
  <c r="L43" i="10"/>
  <c r="L38" i="10"/>
  <c r="L33" i="10"/>
  <c r="L28" i="10"/>
  <c r="K98" i="10"/>
  <c r="K93" i="10"/>
  <c r="K88" i="10"/>
  <c r="K83" i="10"/>
  <c r="K78" i="10"/>
  <c r="K73" i="10"/>
  <c r="K68" i="10"/>
  <c r="K63" i="10"/>
  <c r="K58" i="10"/>
  <c r="K53" i="10"/>
  <c r="K48" i="10"/>
  <c r="K43" i="10"/>
  <c r="K38" i="10"/>
  <c r="K33" i="10"/>
  <c r="K28" i="10"/>
  <c r="J98" i="10"/>
  <c r="J93" i="10"/>
  <c r="J88" i="10"/>
  <c r="J83" i="10"/>
  <c r="J78" i="10"/>
  <c r="J73" i="10"/>
  <c r="J68" i="10"/>
  <c r="J63" i="10"/>
  <c r="J58" i="10"/>
  <c r="J53" i="10"/>
  <c r="J48" i="10"/>
  <c r="J43" i="10"/>
  <c r="J38" i="10"/>
  <c r="J33" i="10"/>
  <c r="J28" i="10"/>
  <c r="I98" i="10"/>
  <c r="I93" i="10"/>
  <c r="I88" i="10"/>
  <c r="I83" i="10"/>
  <c r="I78" i="10"/>
  <c r="I73" i="10"/>
  <c r="I68" i="10"/>
  <c r="I63" i="10"/>
  <c r="I58" i="10"/>
  <c r="I53" i="10"/>
  <c r="I48" i="10"/>
  <c r="I43" i="10"/>
  <c r="I38" i="10"/>
  <c r="I33" i="10"/>
  <c r="I28" i="10"/>
  <c r="H98" i="10"/>
  <c r="H93" i="10"/>
  <c r="H88" i="10"/>
  <c r="H83" i="10"/>
  <c r="H78" i="10"/>
  <c r="H73" i="10"/>
  <c r="H68" i="10"/>
  <c r="H63" i="10"/>
  <c r="H58" i="10"/>
  <c r="H53" i="10"/>
  <c r="H48" i="10"/>
  <c r="H43" i="10"/>
  <c r="H38" i="10"/>
  <c r="H33" i="10"/>
  <c r="H28" i="10"/>
  <c r="G98" i="10"/>
  <c r="G93" i="10"/>
  <c r="G88" i="10"/>
  <c r="G83" i="10"/>
  <c r="G78" i="10"/>
  <c r="G73" i="10"/>
  <c r="G68" i="10"/>
  <c r="G63" i="10"/>
  <c r="G58" i="10"/>
  <c r="G53" i="10"/>
  <c r="G48" i="10"/>
  <c r="G43" i="10"/>
  <c r="G38" i="10"/>
  <c r="G33" i="10"/>
  <c r="G28" i="10"/>
  <c r="F98" i="10"/>
  <c r="F93" i="10"/>
  <c r="F88" i="10"/>
  <c r="F83" i="10"/>
  <c r="F78" i="10"/>
  <c r="F73" i="10"/>
  <c r="F68" i="10"/>
  <c r="F63" i="10"/>
  <c r="F58" i="10"/>
  <c r="F53" i="10"/>
  <c r="F48" i="10"/>
  <c r="F43" i="10"/>
  <c r="F38" i="10"/>
  <c r="F33" i="10"/>
  <c r="F28" i="10"/>
  <c r="E98" i="10"/>
  <c r="E93" i="10"/>
  <c r="E88" i="10"/>
  <c r="E83" i="10"/>
  <c r="E78" i="10"/>
  <c r="E73" i="10"/>
  <c r="E68" i="10"/>
  <c r="E63" i="10"/>
  <c r="E58" i="10"/>
  <c r="E53" i="10"/>
  <c r="E48" i="10"/>
  <c r="E43" i="10"/>
  <c r="E38" i="10"/>
  <c r="E33" i="10"/>
  <c r="E28" i="10"/>
  <c r="D98" i="10"/>
  <c r="D93" i="10"/>
  <c r="D88" i="10"/>
  <c r="D83" i="10"/>
  <c r="D78" i="10"/>
  <c r="D73" i="10"/>
  <c r="D68" i="10"/>
  <c r="D63" i="10"/>
  <c r="D58" i="10"/>
  <c r="D53" i="10"/>
  <c r="D48" i="10"/>
  <c r="D43" i="10"/>
  <c r="D38" i="10"/>
  <c r="D33" i="10"/>
  <c r="D28" i="10"/>
  <c r="C98" i="10"/>
  <c r="B99" i="10" s="1"/>
  <c r="P124" i="10" s="1"/>
  <c r="C93" i="10"/>
  <c r="B94" i="10" s="1"/>
  <c r="O124" i="10" s="1"/>
  <c r="C88" i="10"/>
  <c r="B89" i="10" s="1"/>
  <c r="N124" i="10" s="1"/>
  <c r="C83" i="10"/>
  <c r="B84" i="10" s="1"/>
  <c r="M124" i="10" s="1"/>
  <c r="C78" i="10"/>
  <c r="B79" i="10" s="1"/>
  <c r="L124" i="10" s="1"/>
  <c r="C73" i="10"/>
  <c r="B74" i="10" s="1"/>
  <c r="K124" i="10" s="1"/>
  <c r="C68" i="10"/>
  <c r="B69" i="10" s="1"/>
  <c r="J124" i="10" s="1"/>
  <c r="C63" i="10"/>
  <c r="B64" i="10" s="1"/>
  <c r="I124" i="10" s="1"/>
  <c r="C58" i="10"/>
  <c r="B59" i="10" s="1"/>
  <c r="H124" i="10" s="1"/>
  <c r="C53" i="10"/>
  <c r="B54" i="10" s="1"/>
  <c r="G124" i="10" s="1"/>
  <c r="C48" i="10"/>
  <c r="B49" i="10" s="1"/>
  <c r="F124" i="10" s="1"/>
  <c r="C43" i="10"/>
  <c r="B44" i="10" s="1"/>
  <c r="E124" i="10" s="1"/>
  <c r="C38" i="10"/>
  <c r="B39" i="10" s="1"/>
  <c r="D124" i="10" s="1"/>
  <c r="C33" i="10"/>
  <c r="B34" i="10" s="1"/>
  <c r="C124" i="10" s="1"/>
  <c r="C28" i="10"/>
  <c r="B29" i="10" s="1"/>
  <c r="B124" i="10" s="1"/>
  <c r="B23" i="10"/>
  <c r="L98" i="11"/>
  <c r="L93" i="11"/>
  <c r="L88" i="11"/>
  <c r="L83" i="11"/>
  <c r="L78" i="11"/>
  <c r="L73" i="11"/>
  <c r="L68" i="11"/>
  <c r="L63" i="11"/>
  <c r="L58" i="11"/>
  <c r="L53" i="11"/>
  <c r="L48" i="11"/>
  <c r="L43" i="11"/>
  <c r="L38" i="11"/>
  <c r="L33" i="11"/>
  <c r="L28" i="11"/>
  <c r="K98" i="11"/>
  <c r="K93" i="11"/>
  <c r="K88" i="11"/>
  <c r="K83" i="11"/>
  <c r="K78" i="11"/>
  <c r="K73" i="11"/>
  <c r="K68" i="11"/>
  <c r="K63" i="11"/>
  <c r="K58" i="11"/>
  <c r="K53" i="11"/>
  <c r="K48" i="11"/>
  <c r="K43" i="11"/>
  <c r="K38" i="11"/>
  <c r="K33" i="11"/>
  <c r="K28" i="11"/>
  <c r="J98" i="11"/>
  <c r="J93" i="11"/>
  <c r="J88" i="11"/>
  <c r="J83" i="11"/>
  <c r="J78" i="11"/>
  <c r="J73" i="11"/>
  <c r="J68" i="11"/>
  <c r="J63" i="11"/>
  <c r="J58" i="11"/>
  <c r="J53" i="11"/>
  <c r="J48" i="11"/>
  <c r="J43" i="11"/>
  <c r="J38" i="11"/>
  <c r="J33" i="11"/>
  <c r="J28" i="11"/>
  <c r="I98" i="11"/>
  <c r="I93" i="11"/>
  <c r="I88" i="11"/>
  <c r="I83" i="11"/>
  <c r="I78" i="11"/>
  <c r="I73" i="11"/>
  <c r="I68" i="11"/>
  <c r="I63" i="11"/>
  <c r="I58" i="11"/>
  <c r="I53" i="11"/>
  <c r="I48" i="11"/>
  <c r="I43" i="11"/>
  <c r="I38" i="11"/>
  <c r="I33" i="11"/>
  <c r="I28" i="11"/>
  <c r="H98" i="11"/>
  <c r="H93" i="11"/>
  <c r="H88" i="11"/>
  <c r="H83" i="11"/>
  <c r="H78" i="11"/>
  <c r="H73" i="11"/>
  <c r="H68" i="11"/>
  <c r="H63" i="11"/>
  <c r="H58" i="11"/>
  <c r="H53" i="11"/>
  <c r="H48" i="11"/>
  <c r="H43" i="11"/>
  <c r="H38" i="11"/>
  <c r="H33" i="11"/>
  <c r="H28" i="11"/>
  <c r="G98" i="11"/>
  <c r="G93" i="11"/>
  <c r="G88" i="11"/>
  <c r="G83" i="11"/>
  <c r="G78" i="11"/>
  <c r="G73" i="11"/>
  <c r="G68" i="11"/>
  <c r="G63" i="11"/>
  <c r="G58" i="11"/>
  <c r="G53" i="11"/>
  <c r="G48" i="11"/>
  <c r="G43" i="11"/>
  <c r="G38" i="11"/>
  <c r="G33" i="11"/>
  <c r="G28" i="11"/>
  <c r="F98" i="11"/>
  <c r="F93" i="11"/>
  <c r="F88" i="11"/>
  <c r="F83" i="11"/>
  <c r="F78" i="11"/>
  <c r="F73" i="11"/>
  <c r="F68" i="11"/>
  <c r="F63" i="11"/>
  <c r="F58" i="11"/>
  <c r="F53" i="11"/>
  <c r="F48" i="11"/>
  <c r="F43" i="11"/>
  <c r="F38" i="11"/>
  <c r="F33" i="11"/>
  <c r="F28" i="11"/>
  <c r="E98" i="11"/>
  <c r="E93" i="11"/>
  <c r="E88" i="11"/>
  <c r="E83" i="11"/>
  <c r="E78" i="11"/>
  <c r="E73" i="11"/>
  <c r="E68" i="11"/>
  <c r="E63" i="11"/>
  <c r="E58" i="11"/>
  <c r="E53" i="11"/>
  <c r="E48" i="11"/>
  <c r="E43" i="11"/>
  <c r="E38" i="11"/>
  <c r="E33" i="11"/>
  <c r="E28" i="11"/>
  <c r="D98" i="11"/>
  <c r="D93" i="11"/>
  <c r="D88" i="11"/>
  <c r="D83" i="11"/>
  <c r="D78" i="11"/>
  <c r="D73" i="11"/>
  <c r="D68" i="11"/>
  <c r="D63" i="11"/>
  <c r="D58" i="11"/>
  <c r="D53" i="11"/>
  <c r="D48" i="11"/>
  <c r="D43" i="11"/>
  <c r="D38" i="11"/>
  <c r="D33" i="11"/>
  <c r="D28" i="11"/>
  <c r="C98" i="11"/>
  <c r="B99" i="11" s="1"/>
  <c r="P124" i="11" s="1"/>
  <c r="C93" i="11"/>
  <c r="B94" i="11" s="1"/>
  <c r="O124" i="11" s="1"/>
  <c r="C88" i="11"/>
  <c r="B89" i="11" s="1"/>
  <c r="N124" i="11" s="1"/>
  <c r="C83" i="11"/>
  <c r="B84" i="11" s="1"/>
  <c r="M124" i="11" s="1"/>
  <c r="C78" i="11"/>
  <c r="B79" i="11" s="1"/>
  <c r="L124" i="11" s="1"/>
  <c r="C73" i="11"/>
  <c r="B74" i="11" s="1"/>
  <c r="K124" i="11" s="1"/>
  <c r="C68" i="11"/>
  <c r="B69" i="11" s="1"/>
  <c r="J124" i="11" s="1"/>
  <c r="C63" i="11"/>
  <c r="B64" i="11" s="1"/>
  <c r="I124" i="11" s="1"/>
  <c r="C58" i="11"/>
  <c r="B59" i="11" s="1"/>
  <c r="H124" i="11" s="1"/>
  <c r="C53" i="11"/>
  <c r="B54" i="11" s="1"/>
  <c r="G124" i="11" s="1"/>
  <c r="C48" i="11"/>
  <c r="B49" i="11" s="1"/>
  <c r="F124" i="11" s="1"/>
  <c r="C43" i="11"/>
  <c r="B44" i="11" s="1"/>
  <c r="E124" i="11" s="1"/>
  <c r="C38" i="11"/>
  <c r="B39" i="11" s="1"/>
  <c r="D124" i="11" s="1"/>
  <c r="C33" i="11"/>
  <c r="B34" i="11" s="1"/>
  <c r="C124" i="11" s="1"/>
  <c r="C28" i="11"/>
  <c r="B29" i="11" s="1"/>
  <c r="B124" i="11" s="1"/>
  <c r="B23" i="11"/>
  <c r="L98" i="7"/>
  <c r="L93" i="7"/>
  <c r="L88" i="7"/>
  <c r="L83" i="7"/>
  <c r="L78" i="7"/>
  <c r="L73" i="7"/>
  <c r="L68" i="7"/>
  <c r="L63" i="7"/>
  <c r="L58" i="7"/>
  <c r="L53" i="7"/>
  <c r="L48" i="7"/>
  <c r="L43" i="7"/>
  <c r="L38" i="7"/>
  <c r="L33" i="7"/>
  <c r="L28" i="7"/>
  <c r="K98" i="7"/>
  <c r="K93" i="7"/>
  <c r="K88" i="7"/>
  <c r="K83" i="7"/>
  <c r="K78" i="7"/>
  <c r="K73" i="7"/>
  <c r="K68" i="7"/>
  <c r="K63" i="7"/>
  <c r="K58" i="7"/>
  <c r="K53" i="7"/>
  <c r="K48" i="7"/>
  <c r="K43" i="7"/>
  <c r="K38" i="7"/>
  <c r="K33" i="7"/>
  <c r="K28" i="7"/>
  <c r="J98" i="7"/>
  <c r="J93" i="7"/>
  <c r="J88" i="7"/>
  <c r="J83" i="7"/>
  <c r="J78" i="7"/>
  <c r="J73" i="7"/>
  <c r="J68" i="7"/>
  <c r="J63" i="7"/>
  <c r="J58" i="7"/>
  <c r="J53" i="7"/>
  <c r="J48" i="7"/>
  <c r="J43" i="7"/>
  <c r="J38" i="7"/>
  <c r="J33" i="7"/>
  <c r="J28" i="7"/>
  <c r="I98" i="7"/>
  <c r="I93" i="7"/>
  <c r="I88" i="7"/>
  <c r="I83" i="7"/>
  <c r="I78" i="7"/>
  <c r="I73" i="7"/>
  <c r="I68" i="7"/>
  <c r="I63" i="7"/>
  <c r="I58" i="7"/>
  <c r="I53" i="7"/>
  <c r="I48" i="7"/>
  <c r="I43" i="7"/>
  <c r="I38" i="7"/>
  <c r="I33" i="7"/>
  <c r="I28" i="7"/>
  <c r="H98" i="7"/>
  <c r="H93" i="7"/>
  <c r="H88" i="7"/>
  <c r="H83" i="7"/>
  <c r="H78" i="7"/>
  <c r="H73" i="7"/>
  <c r="H68" i="7"/>
  <c r="H63" i="7"/>
  <c r="H58" i="7"/>
  <c r="H53" i="7"/>
  <c r="H48" i="7"/>
  <c r="H43" i="7"/>
  <c r="H38" i="7"/>
  <c r="H33" i="7"/>
  <c r="H28" i="7"/>
  <c r="G98" i="7"/>
  <c r="G93" i="7"/>
  <c r="G88" i="7"/>
  <c r="G83" i="7"/>
  <c r="G78" i="7"/>
  <c r="G73" i="7"/>
  <c r="G68" i="7"/>
  <c r="G63" i="7"/>
  <c r="G58" i="7"/>
  <c r="G53" i="7"/>
  <c r="G48" i="7"/>
  <c r="G43" i="7"/>
  <c r="G38" i="7"/>
  <c r="G33" i="7"/>
  <c r="G28" i="7"/>
  <c r="F98" i="7"/>
  <c r="F93" i="7"/>
  <c r="F88" i="7"/>
  <c r="F83" i="7"/>
  <c r="F78" i="7"/>
  <c r="F73" i="7"/>
  <c r="F68" i="7"/>
  <c r="F63" i="7"/>
  <c r="F58" i="7"/>
  <c r="F53" i="7"/>
  <c r="F48" i="7"/>
  <c r="F43" i="7"/>
  <c r="F38" i="7"/>
  <c r="F33" i="7"/>
  <c r="F28" i="7"/>
  <c r="E98" i="7"/>
  <c r="E93" i="7"/>
  <c r="E88" i="7"/>
  <c r="E83" i="7"/>
  <c r="E78" i="7"/>
  <c r="E73" i="7"/>
  <c r="E68" i="7"/>
  <c r="E63" i="7"/>
  <c r="E58" i="7"/>
  <c r="E53" i="7"/>
  <c r="E48" i="7"/>
  <c r="E43" i="7"/>
  <c r="E38" i="7"/>
  <c r="E33" i="7"/>
  <c r="E28" i="7"/>
  <c r="D98" i="7"/>
  <c r="D93" i="7"/>
  <c r="D88" i="7"/>
  <c r="D83" i="7"/>
  <c r="D78" i="7"/>
  <c r="D73" i="7"/>
  <c r="D68" i="7"/>
  <c r="D63" i="7"/>
  <c r="D58" i="7"/>
  <c r="D53" i="7"/>
  <c r="D48" i="7"/>
  <c r="D43" i="7"/>
  <c r="D38" i="7"/>
  <c r="D33" i="7"/>
  <c r="D28" i="7"/>
  <c r="C98" i="7"/>
  <c r="B99" i="7" s="1"/>
  <c r="P124" i="7" s="1"/>
  <c r="C93" i="7"/>
  <c r="B94" i="7" s="1"/>
  <c r="O124" i="7" s="1"/>
  <c r="C88" i="7"/>
  <c r="B89" i="7" s="1"/>
  <c r="N124" i="7" s="1"/>
  <c r="C83" i="7"/>
  <c r="B84" i="7" s="1"/>
  <c r="M124" i="7" s="1"/>
  <c r="C78" i="7"/>
  <c r="B79" i="7" s="1"/>
  <c r="L124" i="7" s="1"/>
  <c r="C73" i="7"/>
  <c r="B74" i="7" s="1"/>
  <c r="K124" i="7" s="1"/>
  <c r="C68" i="7"/>
  <c r="B69" i="7" s="1"/>
  <c r="J124" i="7" s="1"/>
  <c r="C63" i="7"/>
  <c r="B64" i="7" s="1"/>
  <c r="I124" i="7" s="1"/>
  <c r="C58" i="7"/>
  <c r="B59" i="7" s="1"/>
  <c r="H124" i="7" s="1"/>
  <c r="C53" i="7"/>
  <c r="B54" i="7" s="1"/>
  <c r="G124" i="7" s="1"/>
  <c r="C48" i="7"/>
  <c r="B49" i="7" s="1"/>
  <c r="F124" i="7" s="1"/>
  <c r="C43" i="7"/>
  <c r="B44" i="7" s="1"/>
  <c r="E124" i="7" s="1"/>
  <c r="C38" i="7"/>
  <c r="B39" i="7" s="1"/>
  <c r="D124" i="7" s="1"/>
  <c r="C33" i="7"/>
  <c r="B34" i="7" s="1"/>
  <c r="C124" i="7" s="1"/>
  <c r="C28" i="7"/>
  <c r="B29" i="7" s="1"/>
  <c r="B124" i="7" s="1"/>
  <c r="B23" i="7"/>
  <c r="L98" i="9"/>
  <c r="L93" i="9"/>
  <c r="L88" i="9"/>
  <c r="L83" i="9"/>
  <c r="L78" i="9"/>
  <c r="L73" i="9"/>
  <c r="L68" i="9"/>
  <c r="L63" i="9"/>
  <c r="L58" i="9"/>
  <c r="L53" i="9"/>
  <c r="L48" i="9"/>
  <c r="L43" i="9"/>
  <c r="L38" i="9"/>
  <c r="L33" i="9"/>
  <c r="L28" i="9"/>
  <c r="K98" i="9"/>
  <c r="K93" i="9"/>
  <c r="K88" i="9"/>
  <c r="K83" i="9"/>
  <c r="K78" i="9"/>
  <c r="K73" i="9"/>
  <c r="K68" i="9"/>
  <c r="K63" i="9"/>
  <c r="K58" i="9"/>
  <c r="K53" i="9"/>
  <c r="K48" i="9"/>
  <c r="K43" i="9"/>
  <c r="K38" i="9"/>
  <c r="K33" i="9"/>
  <c r="K28" i="9"/>
  <c r="J98" i="9"/>
  <c r="J93" i="9"/>
  <c r="J88" i="9"/>
  <c r="J83" i="9"/>
  <c r="J78" i="9"/>
  <c r="J73" i="9"/>
  <c r="J68" i="9"/>
  <c r="J63" i="9"/>
  <c r="J58" i="9"/>
  <c r="J53" i="9"/>
  <c r="J48" i="9"/>
  <c r="J43" i="9"/>
  <c r="J38" i="9"/>
  <c r="J33" i="9"/>
  <c r="J28" i="9"/>
  <c r="I98" i="9"/>
  <c r="I93" i="9"/>
  <c r="I88" i="9"/>
  <c r="I83" i="9"/>
  <c r="I78" i="9"/>
  <c r="I73" i="9"/>
  <c r="I68" i="9"/>
  <c r="I63" i="9"/>
  <c r="I58" i="9"/>
  <c r="I53" i="9"/>
  <c r="I48" i="9"/>
  <c r="I43" i="9"/>
  <c r="I38" i="9"/>
  <c r="I33" i="9"/>
  <c r="I28" i="9"/>
  <c r="H98" i="9"/>
  <c r="H93" i="9"/>
  <c r="H88" i="9"/>
  <c r="H83" i="9"/>
  <c r="H78" i="9"/>
  <c r="H73" i="9"/>
  <c r="H68" i="9"/>
  <c r="H63" i="9"/>
  <c r="H58" i="9"/>
  <c r="H53" i="9"/>
  <c r="H48" i="9"/>
  <c r="H43" i="9"/>
  <c r="H38" i="9"/>
  <c r="H33" i="9"/>
  <c r="H28" i="9"/>
  <c r="G98" i="9"/>
  <c r="G93" i="9"/>
  <c r="G88" i="9"/>
  <c r="G83" i="9"/>
  <c r="G78" i="9"/>
  <c r="G73" i="9"/>
  <c r="G68" i="9"/>
  <c r="G63" i="9"/>
  <c r="G58" i="9"/>
  <c r="G53" i="9"/>
  <c r="G48" i="9"/>
  <c r="G43" i="9"/>
  <c r="G38" i="9"/>
  <c r="G33" i="9"/>
  <c r="G28" i="9"/>
  <c r="F98" i="9"/>
  <c r="F93" i="9"/>
  <c r="F88" i="9"/>
  <c r="F83" i="9"/>
  <c r="F78" i="9"/>
  <c r="F73" i="9"/>
  <c r="F68" i="9"/>
  <c r="F63" i="9"/>
  <c r="F58" i="9"/>
  <c r="F53" i="9"/>
  <c r="F48" i="9"/>
  <c r="F43" i="9"/>
  <c r="F38" i="9"/>
  <c r="F33" i="9"/>
  <c r="F28" i="9"/>
  <c r="E98" i="9"/>
  <c r="E93" i="9"/>
  <c r="E88" i="9"/>
  <c r="E83" i="9"/>
  <c r="E78" i="9"/>
  <c r="E73" i="9"/>
  <c r="E68" i="9"/>
  <c r="E63" i="9"/>
  <c r="E58" i="9"/>
  <c r="E53" i="9"/>
  <c r="E48" i="9"/>
  <c r="E43" i="9"/>
  <c r="E38" i="9"/>
  <c r="E33" i="9"/>
  <c r="E28" i="9"/>
  <c r="D98" i="9"/>
  <c r="D93" i="9"/>
  <c r="D88" i="9"/>
  <c r="D83" i="9"/>
  <c r="D78" i="9"/>
  <c r="D73" i="9"/>
  <c r="D68" i="9"/>
  <c r="D63" i="9"/>
  <c r="D58" i="9"/>
  <c r="D53" i="9"/>
  <c r="D48" i="9"/>
  <c r="D43" i="9"/>
  <c r="D38" i="9"/>
  <c r="D33" i="9"/>
  <c r="D28" i="9"/>
  <c r="C98" i="9"/>
  <c r="B99" i="9" s="1"/>
  <c r="P124" i="9" s="1"/>
  <c r="C93" i="9"/>
  <c r="B94" i="9" s="1"/>
  <c r="O124" i="9" s="1"/>
  <c r="C88" i="9"/>
  <c r="B89" i="9" s="1"/>
  <c r="N124" i="9" s="1"/>
  <c r="C83" i="9"/>
  <c r="B84" i="9" s="1"/>
  <c r="M124" i="9" s="1"/>
  <c r="C78" i="9"/>
  <c r="B79" i="9" s="1"/>
  <c r="L124" i="9" s="1"/>
  <c r="C73" i="9"/>
  <c r="B74" i="9" s="1"/>
  <c r="K124" i="9" s="1"/>
  <c r="C68" i="9"/>
  <c r="B69" i="9" s="1"/>
  <c r="J124" i="9" s="1"/>
  <c r="C63" i="9"/>
  <c r="B64" i="9" s="1"/>
  <c r="I124" i="9" s="1"/>
  <c r="C58" i="9"/>
  <c r="B59" i="9" s="1"/>
  <c r="H124" i="9" s="1"/>
  <c r="C53" i="9"/>
  <c r="B54" i="9" s="1"/>
  <c r="G124" i="9" s="1"/>
  <c r="C48" i="9"/>
  <c r="B49" i="9" s="1"/>
  <c r="F124" i="9" s="1"/>
  <c r="C43" i="9"/>
  <c r="B44" i="9" s="1"/>
  <c r="E124" i="9" s="1"/>
  <c r="C38" i="9"/>
  <c r="B39" i="9" s="1"/>
  <c r="D124" i="9" s="1"/>
  <c r="C33" i="9"/>
  <c r="B34" i="9" s="1"/>
  <c r="C124" i="9" s="1"/>
  <c r="C28" i="9"/>
  <c r="B29" i="9" s="1"/>
  <c r="B124" i="9" s="1"/>
  <c r="B23" i="9"/>
  <c r="L98" i="8"/>
  <c r="L93" i="8"/>
  <c r="L88" i="8"/>
  <c r="L83" i="8"/>
  <c r="L78" i="8"/>
  <c r="L73" i="8"/>
  <c r="L68" i="8"/>
  <c r="L63" i="8"/>
  <c r="L58" i="8"/>
  <c r="L53" i="8"/>
  <c r="L48" i="8"/>
  <c r="L43" i="8"/>
  <c r="L38" i="8"/>
  <c r="L33" i="8"/>
  <c r="L28" i="8"/>
  <c r="K98" i="8"/>
  <c r="K93" i="8"/>
  <c r="K88" i="8"/>
  <c r="K83" i="8"/>
  <c r="K78" i="8"/>
  <c r="K73" i="8"/>
  <c r="K68" i="8"/>
  <c r="K63" i="8"/>
  <c r="K58" i="8"/>
  <c r="K53" i="8"/>
  <c r="K48" i="8"/>
  <c r="K43" i="8"/>
  <c r="K38" i="8"/>
  <c r="K33" i="8"/>
  <c r="K28" i="8"/>
  <c r="J98" i="8"/>
  <c r="J93" i="8"/>
  <c r="J88" i="8"/>
  <c r="J83" i="8"/>
  <c r="J78" i="8"/>
  <c r="J73" i="8"/>
  <c r="J68" i="8"/>
  <c r="J63" i="8"/>
  <c r="J58" i="8"/>
  <c r="J53" i="8"/>
  <c r="J48" i="8"/>
  <c r="J43" i="8"/>
  <c r="J38" i="8"/>
  <c r="J33" i="8"/>
  <c r="J28" i="8"/>
  <c r="I98" i="8"/>
  <c r="I93" i="8"/>
  <c r="I88" i="8"/>
  <c r="I83" i="8"/>
  <c r="I78" i="8"/>
  <c r="I73" i="8"/>
  <c r="I68" i="8"/>
  <c r="I63" i="8"/>
  <c r="I58" i="8"/>
  <c r="I53" i="8"/>
  <c r="I48" i="8"/>
  <c r="I43" i="8"/>
  <c r="I38" i="8"/>
  <c r="I33" i="8"/>
  <c r="I28" i="8"/>
  <c r="H98" i="8"/>
  <c r="H93" i="8"/>
  <c r="H88" i="8"/>
  <c r="H83" i="8"/>
  <c r="H78" i="8"/>
  <c r="H73" i="8"/>
  <c r="H68" i="8"/>
  <c r="H63" i="8"/>
  <c r="H58" i="8"/>
  <c r="H53" i="8"/>
  <c r="H48" i="8"/>
  <c r="H43" i="8"/>
  <c r="H38" i="8"/>
  <c r="H33" i="8"/>
  <c r="H28" i="8"/>
  <c r="G98" i="8"/>
  <c r="G93" i="8"/>
  <c r="G88" i="8"/>
  <c r="G83" i="8"/>
  <c r="G78" i="8"/>
  <c r="G73" i="8"/>
  <c r="G68" i="8"/>
  <c r="G63" i="8"/>
  <c r="G58" i="8"/>
  <c r="G53" i="8"/>
  <c r="G48" i="8"/>
  <c r="G43" i="8"/>
  <c r="G38" i="8"/>
  <c r="G33" i="8"/>
  <c r="G28" i="8"/>
  <c r="F98" i="8"/>
  <c r="F93" i="8"/>
  <c r="F88" i="8"/>
  <c r="F83" i="8"/>
  <c r="F78" i="8"/>
  <c r="F73" i="8"/>
  <c r="F68" i="8"/>
  <c r="F63" i="8"/>
  <c r="F58" i="8"/>
  <c r="F53" i="8"/>
  <c r="F48" i="8"/>
  <c r="F43" i="8"/>
  <c r="F38" i="8"/>
  <c r="F33" i="8"/>
  <c r="F28" i="8"/>
  <c r="E98" i="8"/>
  <c r="E93" i="8"/>
  <c r="E88" i="8"/>
  <c r="E83" i="8"/>
  <c r="E78" i="8"/>
  <c r="E73" i="8"/>
  <c r="E68" i="8"/>
  <c r="E63" i="8"/>
  <c r="E58" i="8"/>
  <c r="E53" i="8"/>
  <c r="E48" i="8"/>
  <c r="E43" i="8"/>
  <c r="E38" i="8"/>
  <c r="E33" i="8"/>
  <c r="E28" i="8"/>
  <c r="D98" i="8"/>
  <c r="D93" i="8"/>
  <c r="D88" i="8"/>
  <c r="D83" i="8"/>
  <c r="D78" i="8"/>
  <c r="D73" i="8"/>
  <c r="D68" i="8"/>
  <c r="D63" i="8"/>
  <c r="D58" i="8"/>
  <c r="D53" i="8"/>
  <c r="D48" i="8"/>
  <c r="D43" i="8"/>
  <c r="D38" i="8"/>
  <c r="D33" i="8"/>
  <c r="D28" i="8"/>
  <c r="C98" i="8"/>
  <c r="B99" i="8" s="1"/>
  <c r="P124" i="8" s="1"/>
  <c r="C93" i="8"/>
  <c r="B94" i="8" s="1"/>
  <c r="O124" i="8" s="1"/>
  <c r="C88" i="8"/>
  <c r="B89" i="8" s="1"/>
  <c r="N124" i="8" s="1"/>
  <c r="C83" i="8"/>
  <c r="B84" i="8" s="1"/>
  <c r="M124" i="8" s="1"/>
  <c r="C78" i="8"/>
  <c r="B79" i="8" s="1"/>
  <c r="L124" i="8" s="1"/>
  <c r="C73" i="8"/>
  <c r="B74" i="8" s="1"/>
  <c r="K124" i="8" s="1"/>
  <c r="C68" i="8"/>
  <c r="B69" i="8" s="1"/>
  <c r="J124" i="8" s="1"/>
  <c r="C63" i="8"/>
  <c r="B64" i="8" s="1"/>
  <c r="I124" i="8" s="1"/>
  <c r="C58" i="8"/>
  <c r="B59" i="8" s="1"/>
  <c r="H124" i="8" s="1"/>
  <c r="C53" i="8"/>
  <c r="B54" i="8" s="1"/>
  <c r="G124" i="8" s="1"/>
  <c r="C48" i="8"/>
  <c r="B49" i="8" s="1"/>
  <c r="F124" i="8" s="1"/>
  <c r="C43" i="8"/>
  <c r="B44" i="8" s="1"/>
  <c r="E124" i="8" s="1"/>
  <c r="C38" i="8"/>
  <c r="B39" i="8" s="1"/>
  <c r="D124" i="8" s="1"/>
  <c r="C33" i="8"/>
  <c r="B34" i="8" s="1"/>
  <c r="C124" i="8" s="1"/>
  <c r="C28" i="8"/>
  <c r="B29" i="8" s="1"/>
  <c r="B124" i="8" s="1"/>
  <c r="B23" i="8"/>
  <c r="L98" i="5"/>
  <c r="L93" i="5"/>
  <c r="L88" i="5"/>
  <c r="L83" i="5"/>
  <c r="L78" i="5"/>
  <c r="L73" i="5"/>
  <c r="L68" i="5"/>
  <c r="L63" i="5"/>
  <c r="L58" i="5"/>
  <c r="L53" i="5"/>
  <c r="L48" i="5"/>
  <c r="L43" i="5"/>
  <c r="L38" i="5"/>
  <c r="L33" i="5"/>
  <c r="L28" i="5"/>
  <c r="K98" i="5"/>
  <c r="K93" i="5"/>
  <c r="K88" i="5"/>
  <c r="K83" i="5"/>
  <c r="K78" i="5"/>
  <c r="K73" i="5"/>
  <c r="K68" i="5"/>
  <c r="K63" i="5"/>
  <c r="K58" i="5"/>
  <c r="K53" i="5"/>
  <c r="K48" i="5"/>
  <c r="K43" i="5"/>
  <c r="K38" i="5"/>
  <c r="K33" i="5"/>
  <c r="K28" i="5"/>
  <c r="J98" i="5"/>
  <c r="J93" i="5"/>
  <c r="J88" i="5"/>
  <c r="J83" i="5"/>
  <c r="J78" i="5"/>
  <c r="J73" i="5"/>
  <c r="J68" i="5"/>
  <c r="J63" i="5"/>
  <c r="J58" i="5"/>
  <c r="J53" i="5"/>
  <c r="J48" i="5"/>
  <c r="J43" i="5"/>
  <c r="J38" i="5"/>
  <c r="J33" i="5"/>
  <c r="J28" i="5"/>
  <c r="I98" i="5"/>
  <c r="I93" i="5"/>
  <c r="I88" i="5"/>
  <c r="I83" i="5"/>
  <c r="I78" i="5"/>
  <c r="I73" i="5"/>
  <c r="I68" i="5"/>
  <c r="I63" i="5"/>
  <c r="I58" i="5"/>
  <c r="I53" i="5"/>
  <c r="I48" i="5"/>
  <c r="I43" i="5"/>
  <c r="I38" i="5"/>
  <c r="I33" i="5"/>
  <c r="I28" i="5"/>
  <c r="H98" i="5"/>
  <c r="H93" i="5"/>
  <c r="H88" i="5"/>
  <c r="H83" i="5"/>
  <c r="H78" i="5"/>
  <c r="H73" i="5"/>
  <c r="H68" i="5"/>
  <c r="H63" i="5"/>
  <c r="H58" i="5"/>
  <c r="H53" i="5"/>
  <c r="H48" i="5"/>
  <c r="H43" i="5"/>
  <c r="H38" i="5"/>
  <c r="H33" i="5"/>
  <c r="H28" i="5"/>
  <c r="G98" i="5"/>
  <c r="G93" i="5"/>
  <c r="G88" i="5"/>
  <c r="G83" i="5"/>
  <c r="G78" i="5"/>
  <c r="G73" i="5"/>
  <c r="G68" i="5"/>
  <c r="G63" i="5"/>
  <c r="G58" i="5"/>
  <c r="G53" i="5"/>
  <c r="G48" i="5"/>
  <c r="G43" i="5"/>
  <c r="G38" i="5"/>
  <c r="G33" i="5"/>
  <c r="G28" i="5"/>
  <c r="F98" i="5"/>
  <c r="F93" i="5"/>
  <c r="F88" i="5"/>
  <c r="F83" i="5"/>
  <c r="F78" i="5"/>
  <c r="F73" i="5"/>
  <c r="F68" i="5"/>
  <c r="F63" i="5"/>
  <c r="F58" i="5"/>
  <c r="F53" i="5"/>
  <c r="F48" i="5"/>
  <c r="F43" i="5"/>
  <c r="F38" i="5"/>
  <c r="F33" i="5"/>
  <c r="F28" i="5"/>
  <c r="E98" i="5"/>
  <c r="E93" i="5"/>
  <c r="E88" i="5"/>
  <c r="E83" i="5"/>
  <c r="E78" i="5"/>
  <c r="E73" i="5"/>
  <c r="E68" i="5"/>
  <c r="E63" i="5"/>
  <c r="E58" i="5"/>
  <c r="E53" i="5"/>
  <c r="E48" i="5"/>
  <c r="E43" i="5"/>
  <c r="E38" i="5"/>
  <c r="E33" i="5"/>
  <c r="E28" i="5"/>
  <c r="D98" i="5"/>
  <c r="D93" i="5"/>
  <c r="D88" i="5"/>
  <c r="D83" i="5"/>
  <c r="D78" i="5"/>
  <c r="D73" i="5"/>
  <c r="D68" i="5"/>
  <c r="D63" i="5"/>
  <c r="D58" i="5"/>
  <c r="D53" i="5"/>
  <c r="D48" i="5"/>
  <c r="D43" i="5"/>
  <c r="D38" i="5"/>
  <c r="D33" i="5"/>
  <c r="D28" i="5"/>
  <c r="C98" i="5"/>
  <c r="B99" i="5" s="1"/>
  <c r="P124" i="5" s="1"/>
  <c r="C93" i="5"/>
  <c r="B94" i="5" s="1"/>
  <c r="O124" i="5" s="1"/>
  <c r="C88" i="5"/>
  <c r="B89" i="5" s="1"/>
  <c r="N124" i="5" s="1"/>
  <c r="C83" i="5"/>
  <c r="B84" i="5" s="1"/>
  <c r="M124" i="5" s="1"/>
  <c r="C78" i="5"/>
  <c r="B79" i="5" s="1"/>
  <c r="L124" i="5" s="1"/>
  <c r="C73" i="5"/>
  <c r="B74" i="5" s="1"/>
  <c r="K124" i="5" s="1"/>
  <c r="C68" i="5"/>
  <c r="B69" i="5" s="1"/>
  <c r="J124" i="5" s="1"/>
  <c r="C63" i="5"/>
  <c r="B64" i="5" s="1"/>
  <c r="I124" i="5" s="1"/>
  <c r="C58" i="5"/>
  <c r="B59" i="5" s="1"/>
  <c r="H124" i="5" s="1"/>
  <c r="C53" i="5"/>
  <c r="B54" i="5" s="1"/>
  <c r="G124" i="5" s="1"/>
  <c r="C48" i="5"/>
  <c r="B49" i="5" s="1"/>
  <c r="F124" i="5" s="1"/>
  <c r="C43" i="5"/>
  <c r="B44" i="5" s="1"/>
  <c r="E124" i="5" s="1"/>
  <c r="C38" i="5"/>
  <c r="B39" i="5" s="1"/>
  <c r="D124" i="5" s="1"/>
  <c r="C33" i="5"/>
  <c r="B34" i="5" s="1"/>
  <c r="C124" i="5" s="1"/>
  <c r="C28" i="5"/>
  <c r="B29" i="5" s="1"/>
  <c r="B124" i="5" s="1"/>
  <c r="B23" i="5"/>
  <c r="L98" i="4"/>
  <c r="L93" i="4"/>
  <c r="L88" i="4"/>
  <c r="L83" i="4"/>
  <c r="L78" i="4"/>
  <c r="L73" i="4"/>
  <c r="L68" i="4"/>
  <c r="L63" i="4"/>
  <c r="L58" i="4"/>
  <c r="L53" i="4"/>
  <c r="L48" i="4"/>
  <c r="L43" i="4"/>
  <c r="L38" i="4"/>
  <c r="L33" i="4"/>
  <c r="L28" i="4"/>
  <c r="K98" i="4"/>
  <c r="K93" i="4"/>
  <c r="K88" i="4"/>
  <c r="K83" i="4"/>
  <c r="K78" i="4"/>
  <c r="K73" i="4"/>
  <c r="K68" i="4"/>
  <c r="K63" i="4"/>
  <c r="K58" i="4"/>
  <c r="K53" i="4"/>
  <c r="K48" i="4"/>
  <c r="K43" i="4"/>
  <c r="K38" i="4"/>
  <c r="K33" i="4"/>
  <c r="K28" i="4"/>
  <c r="J98" i="4"/>
  <c r="J93" i="4"/>
  <c r="J88" i="4"/>
  <c r="J83" i="4"/>
  <c r="J78" i="4"/>
  <c r="J73" i="4"/>
  <c r="J68" i="4"/>
  <c r="J63" i="4"/>
  <c r="J58" i="4"/>
  <c r="J53" i="4"/>
  <c r="J48" i="4"/>
  <c r="J43" i="4"/>
  <c r="J38" i="4"/>
  <c r="J33" i="4"/>
  <c r="J28" i="4"/>
  <c r="I98" i="4"/>
  <c r="I93" i="4"/>
  <c r="I88" i="4"/>
  <c r="I83" i="4"/>
  <c r="I78" i="4"/>
  <c r="I73" i="4"/>
  <c r="I68" i="4"/>
  <c r="I63" i="4"/>
  <c r="I58" i="4"/>
  <c r="I53" i="4"/>
  <c r="I48" i="4"/>
  <c r="I43" i="4"/>
  <c r="I38" i="4"/>
  <c r="I33" i="4"/>
  <c r="I28" i="4"/>
  <c r="H98" i="4"/>
  <c r="H93" i="4"/>
  <c r="H88" i="4"/>
  <c r="H83" i="4"/>
  <c r="H78" i="4"/>
  <c r="H73" i="4"/>
  <c r="H68" i="4"/>
  <c r="H63" i="4"/>
  <c r="H58" i="4"/>
  <c r="H53" i="4"/>
  <c r="H48" i="4"/>
  <c r="H43" i="4"/>
  <c r="H38" i="4"/>
  <c r="H33" i="4"/>
  <c r="H28" i="4"/>
  <c r="G98" i="4"/>
  <c r="G93" i="4"/>
  <c r="G88" i="4"/>
  <c r="G83" i="4"/>
  <c r="G78" i="4"/>
  <c r="G73" i="4"/>
  <c r="G68" i="4"/>
  <c r="G63" i="4"/>
  <c r="G58" i="4"/>
  <c r="G53" i="4"/>
  <c r="G48" i="4"/>
  <c r="G43" i="4"/>
  <c r="G38" i="4"/>
  <c r="G33" i="4"/>
  <c r="G28" i="4"/>
  <c r="F98" i="4"/>
  <c r="F93" i="4"/>
  <c r="F88" i="4"/>
  <c r="F83" i="4"/>
  <c r="F78" i="4"/>
  <c r="F73" i="4"/>
  <c r="F68" i="4"/>
  <c r="F63" i="4"/>
  <c r="F58" i="4"/>
  <c r="F53" i="4"/>
  <c r="F48" i="4"/>
  <c r="F43" i="4"/>
  <c r="F38" i="4"/>
  <c r="F33" i="4"/>
  <c r="F28" i="4"/>
  <c r="E98" i="4"/>
  <c r="E93" i="4"/>
  <c r="E88" i="4"/>
  <c r="E83" i="4"/>
  <c r="E78" i="4"/>
  <c r="E73" i="4"/>
  <c r="E68" i="4"/>
  <c r="E63" i="4"/>
  <c r="E58" i="4"/>
  <c r="E53" i="4"/>
  <c r="E48" i="4"/>
  <c r="E43" i="4"/>
  <c r="E38" i="4"/>
  <c r="E33" i="4"/>
  <c r="E28" i="4"/>
  <c r="D98" i="4"/>
  <c r="D93" i="4"/>
  <c r="D88" i="4"/>
  <c r="D83" i="4"/>
  <c r="D78" i="4"/>
  <c r="D73" i="4"/>
  <c r="D68" i="4"/>
  <c r="D63" i="4"/>
  <c r="D58" i="4"/>
  <c r="D53" i="4"/>
  <c r="D48" i="4"/>
  <c r="D43" i="4"/>
  <c r="D38" i="4"/>
  <c r="D33" i="4"/>
  <c r="D28" i="4"/>
  <c r="C98" i="4"/>
  <c r="B99" i="4" s="1"/>
  <c r="P124" i="4" s="1"/>
  <c r="C93" i="4"/>
  <c r="B94" i="4" s="1"/>
  <c r="O124" i="4" s="1"/>
  <c r="C88" i="4"/>
  <c r="B89" i="4" s="1"/>
  <c r="N124" i="4" s="1"/>
  <c r="C83" i="4"/>
  <c r="B84" i="4" s="1"/>
  <c r="M124" i="4" s="1"/>
  <c r="C78" i="4"/>
  <c r="B79" i="4" s="1"/>
  <c r="L124" i="4" s="1"/>
  <c r="C73" i="4"/>
  <c r="B74" i="4" s="1"/>
  <c r="K124" i="4" s="1"/>
  <c r="C68" i="4"/>
  <c r="B69" i="4" s="1"/>
  <c r="J124" i="4" s="1"/>
  <c r="C63" i="4"/>
  <c r="B64" i="4" s="1"/>
  <c r="I124" i="4" s="1"/>
  <c r="C58" i="4"/>
  <c r="B59" i="4" s="1"/>
  <c r="H124" i="4" s="1"/>
  <c r="C53" i="4"/>
  <c r="B54" i="4" s="1"/>
  <c r="G124" i="4" s="1"/>
  <c r="C48" i="4"/>
  <c r="B49" i="4" s="1"/>
  <c r="F124" i="4" s="1"/>
  <c r="C43" i="4"/>
  <c r="B44" i="4" s="1"/>
  <c r="E124" i="4" s="1"/>
  <c r="C38" i="4"/>
  <c r="B39" i="4" s="1"/>
  <c r="D124" i="4" s="1"/>
  <c r="C33" i="4"/>
  <c r="B34" i="4" s="1"/>
  <c r="C124" i="4" s="1"/>
  <c r="C28" i="4"/>
  <c r="B29" i="4" s="1"/>
  <c r="B124" i="4" s="1"/>
  <c r="B23" i="4"/>
  <c r="L98" i="2"/>
  <c r="L93" i="2"/>
  <c r="L88" i="2"/>
  <c r="L83" i="2"/>
  <c r="L78" i="2"/>
  <c r="L73" i="2"/>
  <c r="L68" i="2"/>
  <c r="L63" i="2"/>
  <c r="L58" i="2"/>
  <c r="L53" i="2"/>
  <c r="L48" i="2"/>
  <c r="L43" i="2"/>
  <c r="L38" i="2"/>
  <c r="L33" i="2"/>
  <c r="L28" i="2"/>
  <c r="K98" i="2"/>
  <c r="K93" i="2"/>
  <c r="K88" i="2"/>
  <c r="K83" i="2"/>
  <c r="K78" i="2"/>
  <c r="K73" i="2"/>
  <c r="K68" i="2"/>
  <c r="K63" i="2"/>
  <c r="K58" i="2"/>
  <c r="K53" i="2"/>
  <c r="K48" i="2"/>
  <c r="K43" i="2"/>
  <c r="K38" i="2"/>
  <c r="K33" i="2"/>
  <c r="K28" i="2"/>
  <c r="J98" i="2"/>
  <c r="J93" i="2"/>
  <c r="J88" i="2"/>
  <c r="J83" i="2"/>
  <c r="J78" i="2"/>
  <c r="J73" i="2"/>
  <c r="J68" i="2"/>
  <c r="J63" i="2"/>
  <c r="J58" i="2"/>
  <c r="J53" i="2"/>
  <c r="J48" i="2"/>
  <c r="J43" i="2"/>
  <c r="J38" i="2"/>
  <c r="J33" i="2"/>
  <c r="J28" i="2"/>
  <c r="I98" i="2"/>
  <c r="I93" i="2"/>
  <c r="I88" i="2"/>
  <c r="I83" i="2"/>
  <c r="I78" i="2"/>
  <c r="I73" i="2"/>
  <c r="I68" i="2"/>
  <c r="I63" i="2"/>
  <c r="I58" i="2"/>
  <c r="I53" i="2"/>
  <c r="I48" i="2"/>
  <c r="I43" i="2"/>
  <c r="I38" i="2"/>
  <c r="I33" i="2"/>
  <c r="I28" i="2"/>
  <c r="H98" i="2"/>
  <c r="H93" i="2"/>
  <c r="H88" i="2"/>
  <c r="H83" i="2"/>
  <c r="H78" i="2"/>
  <c r="H73" i="2"/>
  <c r="H68" i="2"/>
  <c r="H63" i="2"/>
  <c r="H58" i="2"/>
  <c r="H53" i="2"/>
  <c r="H48" i="2"/>
  <c r="H43" i="2"/>
  <c r="H38" i="2"/>
  <c r="H33" i="2"/>
  <c r="H28" i="2"/>
  <c r="G98" i="2"/>
  <c r="G93" i="2"/>
  <c r="G88" i="2"/>
  <c r="G83" i="2"/>
  <c r="G78" i="2"/>
  <c r="G73" i="2"/>
  <c r="G68" i="2"/>
  <c r="G63" i="2"/>
  <c r="G58" i="2"/>
  <c r="G53" i="2"/>
  <c r="G48" i="2"/>
  <c r="G43" i="2"/>
  <c r="G38" i="2"/>
  <c r="G33" i="2"/>
  <c r="G28" i="2"/>
  <c r="F98" i="2"/>
  <c r="F93" i="2"/>
  <c r="F88" i="2"/>
  <c r="F83" i="2"/>
  <c r="F78" i="2"/>
  <c r="F73" i="2"/>
  <c r="F68" i="2"/>
  <c r="F63" i="2"/>
  <c r="F58" i="2"/>
  <c r="F53" i="2"/>
  <c r="F48" i="2"/>
  <c r="F43" i="2"/>
  <c r="F38" i="2"/>
  <c r="F33" i="2"/>
  <c r="F28" i="2"/>
  <c r="E98" i="2"/>
  <c r="E93" i="2"/>
  <c r="E88" i="2"/>
  <c r="E83" i="2"/>
  <c r="E78" i="2"/>
  <c r="E73" i="2"/>
  <c r="E68" i="2"/>
  <c r="E63" i="2"/>
  <c r="E58" i="2"/>
  <c r="E53" i="2"/>
  <c r="E48" i="2"/>
  <c r="E43" i="2"/>
  <c r="E38" i="2"/>
  <c r="E33" i="2"/>
  <c r="E28" i="2"/>
  <c r="D98" i="2"/>
  <c r="D93" i="2"/>
  <c r="D88" i="2"/>
  <c r="D83" i="2"/>
  <c r="D78" i="2"/>
  <c r="D73" i="2"/>
  <c r="D68" i="2"/>
  <c r="D63" i="2"/>
  <c r="D58" i="2"/>
  <c r="D53" i="2"/>
  <c r="D48" i="2"/>
  <c r="D43" i="2"/>
  <c r="D38" i="2"/>
  <c r="D33" i="2"/>
  <c r="D28" i="2"/>
  <c r="C98" i="2"/>
  <c r="B99" i="2" s="1"/>
  <c r="P124" i="2" s="1"/>
  <c r="C93" i="2"/>
  <c r="B94" i="2" s="1"/>
  <c r="O124" i="2" s="1"/>
  <c r="C88" i="2"/>
  <c r="B89" i="2" s="1"/>
  <c r="N124" i="2" s="1"/>
  <c r="C83" i="2"/>
  <c r="B84" i="2" s="1"/>
  <c r="M124" i="2" s="1"/>
  <c r="C78" i="2"/>
  <c r="B79" i="2" s="1"/>
  <c r="L124" i="2" s="1"/>
  <c r="C73" i="2"/>
  <c r="B74" i="2" s="1"/>
  <c r="K124" i="2" s="1"/>
  <c r="C68" i="2"/>
  <c r="B69" i="2" s="1"/>
  <c r="J124" i="2" s="1"/>
  <c r="C63" i="2"/>
  <c r="B64" i="2" s="1"/>
  <c r="I124" i="2" s="1"/>
  <c r="C58" i="2"/>
  <c r="B59" i="2" s="1"/>
  <c r="H124" i="2" s="1"/>
  <c r="C53" i="2"/>
  <c r="B54" i="2" s="1"/>
  <c r="G124" i="2" s="1"/>
  <c r="C48" i="2"/>
  <c r="B49" i="2" s="1"/>
  <c r="F124" i="2" s="1"/>
  <c r="C43" i="2"/>
  <c r="B44" i="2" s="1"/>
  <c r="E124" i="2" s="1"/>
  <c r="C38" i="2"/>
  <c r="B39" i="2" s="1"/>
  <c r="D124" i="2" s="1"/>
  <c r="C33" i="2"/>
  <c r="B34" i="2" s="1"/>
  <c r="C124" i="2" s="1"/>
  <c r="C28" i="2"/>
  <c r="B29" i="2" s="1"/>
  <c r="B124" i="2" s="1"/>
  <c r="B23" i="2"/>
  <c r="L98" i="3"/>
  <c r="L93" i="3"/>
  <c r="L88" i="3"/>
  <c r="L83" i="3"/>
  <c r="L78" i="3"/>
  <c r="L73" i="3"/>
  <c r="L68" i="3"/>
  <c r="L63" i="3"/>
  <c r="L58" i="3"/>
  <c r="L53" i="3"/>
  <c r="L48" i="3"/>
  <c r="L43" i="3"/>
  <c r="L38" i="3"/>
  <c r="L33" i="3"/>
  <c r="L28" i="3"/>
  <c r="K98" i="3"/>
  <c r="K93" i="3"/>
  <c r="K88" i="3"/>
  <c r="K83" i="3"/>
  <c r="K78" i="3"/>
  <c r="K73" i="3"/>
  <c r="K68" i="3"/>
  <c r="K63" i="3"/>
  <c r="K58" i="3"/>
  <c r="K53" i="3"/>
  <c r="K48" i="3"/>
  <c r="K43" i="3"/>
  <c r="K38" i="3"/>
  <c r="K33" i="3"/>
  <c r="K28" i="3"/>
  <c r="J98" i="3"/>
  <c r="J93" i="3"/>
  <c r="J88" i="3"/>
  <c r="J83" i="3"/>
  <c r="J78" i="3"/>
  <c r="J73" i="3"/>
  <c r="J68" i="3"/>
  <c r="J63" i="3"/>
  <c r="J58" i="3"/>
  <c r="J53" i="3"/>
  <c r="J48" i="3"/>
  <c r="J43" i="3"/>
  <c r="J38" i="3"/>
  <c r="J33" i="3"/>
  <c r="J28" i="3"/>
  <c r="I98" i="3"/>
  <c r="I93" i="3"/>
  <c r="I88" i="3"/>
  <c r="I83" i="3"/>
  <c r="I78" i="3"/>
  <c r="I73" i="3"/>
  <c r="I68" i="3"/>
  <c r="I63" i="3"/>
  <c r="I58" i="3"/>
  <c r="I53" i="3"/>
  <c r="I48" i="3"/>
  <c r="I43" i="3"/>
  <c r="I38" i="3"/>
  <c r="I33" i="3"/>
  <c r="I28" i="3"/>
  <c r="H98" i="3"/>
  <c r="H93" i="3"/>
  <c r="H88" i="3"/>
  <c r="H83" i="3"/>
  <c r="H78" i="3"/>
  <c r="H73" i="3"/>
  <c r="H68" i="3"/>
  <c r="H63" i="3"/>
  <c r="H58" i="3"/>
  <c r="H53" i="3"/>
  <c r="H48" i="3"/>
  <c r="H43" i="3"/>
  <c r="H38" i="3"/>
  <c r="H33" i="3"/>
  <c r="H28" i="3"/>
  <c r="G98" i="3"/>
  <c r="G93" i="3"/>
  <c r="G88" i="3"/>
  <c r="G83" i="3"/>
  <c r="G78" i="3"/>
  <c r="G73" i="3"/>
  <c r="G68" i="3"/>
  <c r="G63" i="3"/>
  <c r="G58" i="3"/>
  <c r="G53" i="3"/>
  <c r="G48" i="3"/>
  <c r="G43" i="3"/>
  <c r="G38" i="3"/>
  <c r="G33" i="3"/>
  <c r="G28" i="3"/>
  <c r="F98" i="3"/>
  <c r="F93" i="3"/>
  <c r="F88" i="3"/>
  <c r="F83" i="3"/>
  <c r="F78" i="3"/>
  <c r="F73" i="3"/>
  <c r="F68" i="3"/>
  <c r="F63" i="3"/>
  <c r="F58" i="3"/>
  <c r="F53" i="3"/>
  <c r="F48" i="3"/>
  <c r="F43" i="3"/>
  <c r="F38" i="3"/>
  <c r="F33" i="3"/>
  <c r="F28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D98" i="3"/>
  <c r="D93" i="3"/>
  <c r="D88" i="3"/>
  <c r="D83" i="3"/>
  <c r="D78" i="3"/>
  <c r="D73" i="3"/>
  <c r="D68" i="3"/>
  <c r="D63" i="3"/>
  <c r="D58" i="3"/>
  <c r="D53" i="3"/>
  <c r="D48" i="3"/>
  <c r="D43" i="3"/>
  <c r="D38" i="3"/>
  <c r="D33" i="3"/>
  <c r="D28" i="3"/>
  <c r="C98" i="3"/>
  <c r="B99" i="3" s="1"/>
  <c r="P124" i="3" s="1"/>
  <c r="C93" i="3"/>
  <c r="B94" i="3" s="1"/>
  <c r="O124" i="3" s="1"/>
  <c r="C88" i="3"/>
  <c r="B89" i="3" s="1"/>
  <c r="N124" i="3" s="1"/>
  <c r="C83" i="3"/>
  <c r="B84" i="3" s="1"/>
  <c r="M124" i="3" s="1"/>
  <c r="C78" i="3"/>
  <c r="B79" i="3" s="1"/>
  <c r="L124" i="3" s="1"/>
  <c r="C73" i="3"/>
  <c r="B74" i="3" s="1"/>
  <c r="K124" i="3" s="1"/>
  <c r="C68" i="3"/>
  <c r="B69" i="3" s="1"/>
  <c r="J124" i="3" s="1"/>
  <c r="C63" i="3"/>
  <c r="B64" i="3" s="1"/>
  <c r="I124" i="3" s="1"/>
  <c r="C58" i="3"/>
  <c r="B59" i="3" s="1"/>
  <c r="H124" i="3" s="1"/>
  <c r="C53" i="3"/>
  <c r="B54" i="3" s="1"/>
  <c r="G124" i="3" s="1"/>
  <c r="C48" i="3"/>
  <c r="B49" i="3" s="1"/>
  <c r="F124" i="3" s="1"/>
  <c r="C43" i="3"/>
  <c r="B44" i="3" s="1"/>
  <c r="E124" i="3" s="1"/>
  <c r="C38" i="3"/>
  <c r="B39" i="3" s="1"/>
  <c r="D124" i="3" s="1"/>
  <c r="C33" i="3"/>
  <c r="B34" i="3" s="1"/>
  <c r="C124" i="3" s="1"/>
  <c r="C28" i="3"/>
  <c r="B29" i="3" s="1"/>
  <c r="B124" i="3" s="1"/>
  <c r="B23" i="3"/>
  <c r="L98" i="6"/>
  <c r="L93" i="6"/>
  <c r="L88" i="6"/>
  <c r="L83" i="6"/>
  <c r="L78" i="6"/>
  <c r="L73" i="6"/>
  <c r="L68" i="6"/>
  <c r="L63" i="6"/>
  <c r="L58" i="6"/>
  <c r="L53" i="6"/>
  <c r="L48" i="6"/>
  <c r="L43" i="6"/>
  <c r="L38" i="6"/>
  <c r="L33" i="6"/>
  <c r="L28" i="6"/>
  <c r="K98" i="6"/>
  <c r="K93" i="6"/>
  <c r="K88" i="6"/>
  <c r="K83" i="6"/>
  <c r="K78" i="6"/>
  <c r="K73" i="6"/>
  <c r="K68" i="6"/>
  <c r="K63" i="6"/>
  <c r="K58" i="6"/>
  <c r="K53" i="6"/>
  <c r="K48" i="6"/>
  <c r="K43" i="6"/>
  <c r="K38" i="6"/>
  <c r="K33" i="6"/>
  <c r="K28" i="6"/>
  <c r="J98" i="6"/>
  <c r="J93" i="6"/>
  <c r="J88" i="6"/>
  <c r="J83" i="6"/>
  <c r="J78" i="6"/>
  <c r="J73" i="6"/>
  <c r="J68" i="6"/>
  <c r="J63" i="6"/>
  <c r="J58" i="6"/>
  <c r="J53" i="6"/>
  <c r="J48" i="6"/>
  <c r="J43" i="6"/>
  <c r="J38" i="6"/>
  <c r="J33" i="6"/>
  <c r="J28" i="6"/>
  <c r="I98" i="6"/>
  <c r="I93" i="6"/>
  <c r="I88" i="6"/>
  <c r="I83" i="6"/>
  <c r="I78" i="6"/>
  <c r="I73" i="6"/>
  <c r="I68" i="6"/>
  <c r="I63" i="6"/>
  <c r="I58" i="6"/>
  <c r="I53" i="6"/>
  <c r="I48" i="6"/>
  <c r="I43" i="6"/>
  <c r="I38" i="6"/>
  <c r="I33" i="6"/>
  <c r="I28" i="6"/>
  <c r="H98" i="6"/>
  <c r="H93" i="6"/>
  <c r="H88" i="6"/>
  <c r="H83" i="6"/>
  <c r="H78" i="6"/>
  <c r="H73" i="6"/>
  <c r="H68" i="6"/>
  <c r="H63" i="6"/>
  <c r="H58" i="6"/>
  <c r="H53" i="6"/>
  <c r="H48" i="6"/>
  <c r="H43" i="6"/>
  <c r="H38" i="6"/>
  <c r="H33" i="6"/>
  <c r="H28" i="6"/>
  <c r="G98" i="6"/>
  <c r="G93" i="6"/>
  <c r="G88" i="6"/>
  <c r="G83" i="6"/>
  <c r="G78" i="6"/>
  <c r="G73" i="6"/>
  <c r="G68" i="6"/>
  <c r="G63" i="6"/>
  <c r="G58" i="6"/>
  <c r="G53" i="6"/>
  <c r="G48" i="6"/>
  <c r="G43" i="6"/>
  <c r="G38" i="6"/>
  <c r="G33" i="6"/>
  <c r="G28" i="6"/>
  <c r="F98" i="6"/>
  <c r="F93" i="6"/>
  <c r="F88" i="6"/>
  <c r="F83" i="6"/>
  <c r="F78" i="6"/>
  <c r="F73" i="6"/>
  <c r="F68" i="6"/>
  <c r="F63" i="6"/>
  <c r="F58" i="6"/>
  <c r="F53" i="6"/>
  <c r="F48" i="6"/>
  <c r="F43" i="6"/>
  <c r="F38" i="6"/>
  <c r="F33" i="6"/>
  <c r="F28" i="6"/>
  <c r="E98" i="6"/>
  <c r="E93" i="6"/>
  <c r="E88" i="6"/>
  <c r="E83" i="6"/>
  <c r="E78" i="6"/>
  <c r="E73" i="6"/>
  <c r="E68" i="6"/>
  <c r="E63" i="6"/>
  <c r="E58" i="6"/>
  <c r="E53" i="6"/>
  <c r="E48" i="6"/>
  <c r="E43" i="6"/>
  <c r="E38" i="6"/>
  <c r="E33" i="6"/>
  <c r="E28" i="6"/>
  <c r="D98" i="6"/>
  <c r="D93" i="6"/>
  <c r="D88" i="6"/>
  <c r="D83" i="6"/>
  <c r="D78" i="6"/>
  <c r="D73" i="6"/>
  <c r="D68" i="6"/>
  <c r="D63" i="6"/>
  <c r="D58" i="6"/>
  <c r="D53" i="6"/>
  <c r="D48" i="6"/>
  <c r="D43" i="6"/>
  <c r="D38" i="6"/>
  <c r="D33" i="6"/>
  <c r="D28" i="6"/>
  <c r="C98" i="6"/>
  <c r="B99" i="6" s="1"/>
  <c r="P124" i="6" s="1"/>
  <c r="C93" i="6"/>
  <c r="B94" i="6" s="1"/>
  <c r="O124" i="6" s="1"/>
  <c r="C88" i="6"/>
  <c r="B89" i="6" s="1"/>
  <c r="N124" i="6" s="1"/>
  <c r="C83" i="6"/>
  <c r="B84" i="6" s="1"/>
  <c r="M124" i="6" s="1"/>
  <c r="C78" i="6"/>
  <c r="B79" i="6" s="1"/>
  <c r="L124" i="6" s="1"/>
  <c r="C73" i="6"/>
  <c r="B74" i="6" s="1"/>
  <c r="K124" i="6" s="1"/>
  <c r="C68" i="6"/>
  <c r="B69" i="6" s="1"/>
  <c r="J124" i="6" s="1"/>
  <c r="C63" i="6"/>
  <c r="B64" i="6" s="1"/>
  <c r="I124" i="6" s="1"/>
  <c r="C58" i="6"/>
  <c r="B59" i="6" s="1"/>
  <c r="H124" i="6" s="1"/>
  <c r="C53" i="6"/>
  <c r="B54" i="6" s="1"/>
  <c r="G124" i="6" s="1"/>
  <c r="C48" i="6"/>
  <c r="B49" i="6" s="1"/>
  <c r="F124" i="6" s="1"/>
  <c r="C43" i="6"/>
  <c r="B44" i="6" s="1"/>
  <c r="E124" i="6" s="1"/>
  <c r="C38" i="6"/>
  <c r="B39" i="6" s="1"/>
  <c r="D124" i="6" s="1"/>
  <c r="C33" i="6"/>
  <c r="B34" i="6" s="1"/>
  <c r="C124" i="6" s="1"/>
  <c r="C28" i="6"/>
  <c r="B29" i="6" s="1"/>
  <c r="B124" i="6" s="1"/>
  <c r="B23" i="6"/>
  <c r="F24" i="1" l="1"/>
  <c r="D24" i="1"/>
  <c r="B24" i="1"/>
  <c r="H24" i="1"/>
  <c r="J24" i="1"/>
  <c r="K24" i="1"/>
  <c r="L24" i="1"/>
  <c r="M24" i="1"/>
  <c r="N24" i="1"/>
  <c r="O24" i="1"/>
  <c r="G24" i="1"/>
  <c r="E24" i="1"/>
  <c r="I24" i="1"/>
  <c r="C24" i="1"/>
  <c r="B126" i="6"/>
  <c r="B125" i="6"/>
  <c r="B126" i="3"/>
  <c r="B125" i="3"/>
  <c r="B126" i="4"/>
  <c r="B125" i="4"/>
  <c r="B126" i="5"/>
  <c r="B125" i="5"/>
  <c r="B126" i="8"/>
  <c r="B125" i="8"/>
  <c r="B126" i="9"/>
  <c r="B125" i="9"/>
  <c r="B126" i="7"/>
  <c r="B125" i="7"/>
  <c r="B126" i="11"/>
  <c r="B125" i="11"/>
  <c r="B126" i="10"/>
  <c r="B125" i="10"/>
  <c r="B126" i="12"/>
  <c r="B125" i="12"/>
  <c r="B126" i="13"/>
  <c r="B125" i="13"/>
  <c r="B126" i="14"/>
  <c r="B125" i="14"/>
  <c r="B126" i="15"/>
  <c r="B125" i="15"/>
  <c r="B104" i="6"/>
  <c r="Q124" i="6" s="1"/>
  <c r="B109" i="6"/>
  <c r="R124" i="6" s="1"/>
  <c r="B114" i="6"/>
  <c r="S124" i="6" s="1"/>
  <c r="B119" i="6"/>
  <c r="T124" i="6" s="1"/>
  <c r="B126" i="2"/>
  <c r="B125" i="2"/>
  <c r="B29" i="1" l="1"/>
  <c r="B30" i="1"/>
  <c r="C29" i="1"/>
  <c r="C30" i="1"/>
  <c r="I29" i="1"/>
  <c r="I30" i="1"/>
  <c r="E29" i="1"/>
  <c r="E30" i="1"/>
  <c r="G29" i="1"/>
  <c r="G30" i="1"/>
  <c r="O29" i="1"/>
  <c r="O30" i="1"/>
  <c r="N29" i="1"/>
  <c r="N30" i="1"/>
  <c r="M29" i="1"/>
  <c r="M30" i="1"/>
  <c r="L29" i="1"/>
  <c r="L30" i="1"/>
  <c r="K29" i="1"/>
  <c r="K30" i="1"/>
  <c r="J29" i="1"/>
  <c r="J30" i="1"/>
  <c r="H29" i="1"/>
  <c r="H30" i="1"/>
  <c r="D29" i="1"/>
  <c r="D30" i="1"/>
  <c r="F29" i="1"/>
  <c r="F30" i="1"/>
</calcChain>
</file>

<file path=xl/sharedStrings.xml><?xml version="1.0" encoding="utf-8"?>
<sst xmlns="http://schemas.openxmlformats.org/spreadsheetml/2006/main" count="1429" uniqueCount="64">
  <si>
    <t>Model inputs</t>
  </si>
  <si>
    <t>Reference values</t>
  </si>
  <si>
    <t>AC single port 22kW</t>
  </si>
  <si>
    <t>AC dual port 22kW</t>
  </si>
  <si>
    <t>DC dual port 40kW</t>
  </si>
  <si>
    <t>Charger rated capacity (kW)</t>
  </si>
  <si>
    <t>Number of ports</t>
  </si>
  <si>
    <t>Capex</t>
  </si>
  <si>
    <t>Capex subsidy</t>
  </si>
  <si>
    <t>Post subsidy Capex</t>
  </si>
  <si>
    <t>Charger average power (% of rated capacity)</t>
  </si>
  <si>
    <t>Charger efficiency (%)</t>
  </si>
  <si>
    <t>Per unit electricity costs ($/kWh)</t>
  </si>
  <si>
    <t>Fixed electricity costs ($ p.a.)</t>
  </si>
  <si>
    <t>Per unit software costs (% of revenue)</t>
  </si>
  <si>
    <t>Fixed software costs ($ p.a.)</t>
  </si>
  <si>
    <t>Sale price ($/kWh)</t>
  </si>
  <si>
    <t>Maintenance ($ p.a.)</t>
  </si>
  <si>
    <t>Replacement capex ($ in year 5)</t>
  </si>
  <si>
    <t>Establishment fee to council (one off)</t>
  </si>
  <si>
    <t>Parking license fee to council or Ausgrid ($ p.a.)</t>
  </si>
  <si>
    <t>DNSP regulated return rate (WACC)</t>
  </si>
  <si>
    <t>Commercial hurdle rate</t>
  </si>
  <si>
    <t>Model outputs</t>
  </si>
  <si>
    <t>Utilisation</t>
  </si>
  <si>
    <t>IRR</t>
  </si>
  <si>
    <t xml:space="preserve"> Net income p.a.</t>
  </si>
  <si>
    <t>NSP regulated return</t>
  </si>
  <si>
    <t>Commercial
hurdle rate</t>
  </si>
  <si>
    <t>Subsidy % DNSP</t>
  </si>
  <si>
    <t>Subsidy % CPO</t>
  </si>
  <si>
    <t>Retailer costs</t>
  </si>
  <si>
    <t>DNSP opex</t>
  </si>
  <si>
    <t>Revenue</t>
  </si>
  <si>
    <t>AC 22kW dual port - 10% utilisation</t>
  </si>
  <si>
    <t>Subsidy %</t>
  </si>
  <si>
    <t>Taxpayer subsidy</t>
  </si>
  <si>
    <t>Retailer opex</t>
  </si>
  <si>
    <t>Revenue to retailer</t>
  </si>
  <si>
    <t>DNSP revenue potential or benefit to EV drivers</t>
  </si>
  <si>
    <t>Revenue (current pricing)</t>
  </si>
  <si>
    <t>Hours in year</t>
  </si>
  <si>
    <t>Energy delivered</t>
  </si>
  <si>
    <t>kWh p.a.</t>
  </si>
  <si>
    <t>Year</t>
  </si>
  <si>
    <t>Income</t>
  </si>
  <si>
    <t xml:space="preserve">Charging </t>
  </si>
  <si>
    <t>Total income</t>
  </si>
  <si>
    <t>Outgoing</t>
  </si>
  <si>
    <t>Site establishment</t>
  </si>
  <si>
    <t>Site license</t>
  </si>
  <si>
    <t>Maintenance</t>
  </si>
  <si>
    <t>Electricity</t>
  </si>
  <si>
    <t>Software - fixed</t>
  </si>
  <si>
    <t>Software - variable</t>
  </si>
  <si>
    <t>Total outgoings</t>
  </si>
  <si>
    <t>Total</t>
  </si>
  <si>
    <t>Subsidy effect</t>
  </si>
  <si>
    <t>Subsidy</t>
  </si>
  <si>
    <t>Subsidised capex</t>
  </si>
  <si>
    <t>Cashflow</t>
  </si>
  <si>
    <t>Subsidy summary</t>
  </si>
  <si>
    <t>Min subsidy for DNSP</t>
  </si>
  <si>
    <t>Min subsidy for 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</si>
</sst>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164" fontId="0" fillId="0" borderId="4" xfId="1" applyNumberFormat="1" applyFont="1" applyBorder="1"/>
    <xf numFmtId="0" fontId="3" fillId="0" borderId="3" xfId="0" applyFont="1" applyBorder="1"/>
    <xf numFmtId="0" fontId="0" fillId="0" borderId="5" xfId="0" applyBorder="1"/>
    <xf numFmtId="9" fontId="0" fillId="0" borderId="6" xfId="0" applyNumberFormat="1" applyBorder="1"/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vertical="top"/>
    </xf>
    <xf numFmtId="164" fontId="0" fillId="0" borderId="0" xfId="1" applyNumberFormat="1" applyFont="1" applyBorder="1"/>
    <xf numFmtId="10" fontId="0" fillId="0" borderId="0" xfId="0" applyNumberFormat="1"/>
    <xf numFmtId="10" fontId="0" fillId="0" borderId="4" xfId="0" applyNumberFormat="1" applyBorder="1"/>
    <xf numFmtId="9" fontId="0" fillId="0" borderId="4" xfId="0" applyNumberFormat="1" applyBorder="1"/>
    <xf numFmtId="9" fontId="0" fillId="0" borderId="8" xfId="0" applyNumberFormat="1" applyBorder="1"/>
    <xf numFmtId="0" fontId="2" fillId="0" borderId="4" xfId="0" applyFont="1" applyBorder="1"/>
    <xf numFmtId="164" fontId="2" fillId="0" borderId="4" xfId="1" applyNumberFormat="1" applyFont="1" applyBorder="1"/>
    <xf numFmtId="44" fontId="2" fillId="0" borderId="4" xfId="1" applyFont="1" applyBorder="1"/>
    <xf numFmtId="10" fontId="2" fillId="0" borderId="4" xfId="1" applyNumberFormat="1" applyFont="1" applyBorder="1"/>
    <xf numFmtId="165" fontId="2" fillId="0" borderId="4" xfId="0" applyNumberFormat="1" applyFont="1" applyBorder="1"/>
    <xf numFmtId="9" fontId="2" fillId="0" borderId="6" xfId="0" applyNumberFormat="1" applyFont="1" applyBorder="1"/>
    <xf numFmtId="9" fontId="2" fillId="0" borderId="4" xfId="0" applyNumberFormat="1" applyFont="1" applyBorder="1"/>
    <xf numFmtId="166" fontId="2" fillId="0" borderId="0" xfId="0" applyNumberFormat="1" applyFont="1"/>
    <xf numFmtId="9" fontId="2" fillId="0" borderId="4" xfId="1" applyNumberFormat="1" applyFont="1" applyFill="1" applyBorder="1"/>
    <xf numFmtId="44" fontId="2" fillId="0" borderId="4" xfId="1" applyFont="1" applyFill="1" applyBorder="1"/>
    <xf numFmtId="164" fontId="2" fillId="0" borderId="4" xfId="1" applyNumberFormat="1" applyFont="1" applyFill="1" applyBorder="1"/>
    <xf numFmtId="9" fontId="0" fillId="0" borderId="0" xfId="2" applyFont="1" applyBorder="1"/>
    <xf numFmtId="9" fontId="0" fillId="0" borderId="4" xfId="2" applyFont="1" applyBorder="1"/>
    <xf numFmtId="9" fontId="0" fillId="0" borderId="0" xfId="1" applyNumberFormat="1" applyFont="1" applyFill="1" applyBorder="1"/>
    <xf numFmtId="44" fontId="0" fillId="0" borderId="0" xfId="1" applyFont="1" applyFill="1" applyBorder="1"/>
    <xf numFmtId="164" fontId="0" fillId="0" borderId="0" xfId="1" applyNumberFormat="1" applyFont="1" applyFill="1" applyBorder="1"/>
    <xf numFmtId="44" fontId="0" fillId="0" borderId="0" xfId="1" applyFont="1" applyBorder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6" fontId="0" fillId="0" borderId="0" xfId="0" applyNumberFormat="1"/>
    <xf numFmtId="165" fontId="0" fillId="0" borderId="0" xfId="0" applyNumberFormat="1"/>
    <xf numFmtId="6" fontId="0" fillId="0" borderId="14" xfId="0" applyNumberForma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1" quotePrefix="1" applyNumberFormat="1" applyFont="1"/>
    <xf numFmtId="9" fontId="2" fillId="0" borderId="0" xfId="2" applyFont="1" applyBorder="1"/>
    <xf numFmtId="9" fontId="2" fillId="0" borderId="4" xfId="2" applyFont="1" applyBorder="1"/>
    <xf numFmtId="164" fontId="2" fillId="0" borderId="0" xfId="1" applyNumberFormat="1" applyFont="1" applyBorder="1"/>
    <xf numFmtId="10" fontId="2" fillId="0" borderId="0" xfId="1" applyNumberFormat="1" applyFont="1" applyBorder="1"/>
    <xf numFmtId="167" fontId="0" fillId="0" borderId="0" xfId="0" applyNumberForma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{"IRR"}</c:f>
              <c:strCache>
                <c:ptCount val="1"/>
                <c:pt idx="0">
                  <c:v>IRR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outputs'!$B$24:$O$24</c:f>
              <c:numCache>
                <c:formatCode>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0.58195841752130995</c:v>
                </c:pt>
                <c:pt idx="3">
                  <c:v>1.899330526266283</c:v>
                </c:pt>
                <c:pt idx="4">
                  <c:v>2.9475491668254357</c:v>
                </c:pt>
                <c:pt idx="5">
                  <c:v>3.9691409423646942</c:v>
                </c:pt>
                <c:pt idx="6">
                  <c:v>4.9841047649119021</c:v>
                </c:pt>
                <c:pt idx="7">
                  <c:v>5.9968565254431638</c:v>
                </c:pt>
                <c:pt idx="8">
                  <c:v>7.008726081049824</c:v>
                </c:pt>
                <c:pt idx="9">
                  <c:v>9.0314694943548055</c:v>
                </c:pt>
                <c:pt idx="10">
                  <c:v>11.053742780157558</c:v>
                </c:pt>
                <c:pt idx="11">
                  <c:v>13.075861929342373</c:v>
                </c:pt>
                <c:pt idx="12">
                  <c:v>15.097920609866133</c:v>
                </c:pt>
                <c:pt idx="13">
                  <c:v>17.119952308712499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EB-4506-9FE1-AD31552FAA7C}"/>
            </c:ext>
          </c:extLst>
        </c:ser>
        <c:ser>
          <c:idx val="1"/>
          <c:order val="1"/>
          <c:tx>
            <c:v>NSP regulated return rate</c:v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outputs'!$B$26:$O$26</c:f>
              <c:numCache>
                <c:formatCode>0.00%</c:formatCode>
                <c:ptCount val="14"/>
                <c:pt idx="0">
                  <c:v>5.8500000000000003E-2</c:v>
                </c:pt>
                <c:pt idx="1">
                  <c:v>5.8500000000000003E-2</c:v>
                </c:pt>
                <c:pt idx="2">
                  <c:v>5.8500000000000003E-2</c:v>
                </c:pt>
                <c:pt idx="3">
                  <c:v>5.8500000000000003E-2</c:v>
                </c:pt>
                <c:pt idx="4">
                  <c:v>5.8500000000000003E-2</c:v>
                </c:pt>
                <c:pt idx="5">
                  <c:v>5.8500000000000003E-2</c:v>
                </c:pt>
                <c:pt idx="6">
                  <c:v>5.8500000000000003E-2</c:v>
                </c:pt>
                <c:pt idx="7">
                  <c:v>5.8500000000000003E-2</c:v>
                </c:pt>
                <c:pt idx="8">
                  <c:v>5.8500000000000003E-2</c:v>
                </c:pt>
                <c:pt idx="9">
                  <c:v>5.8500000000000003E-2</c:v>
                </c:pt>
                <c:pt idx="10">
                  <c:v>5.8500000000000003E-2</c:v>
                </c:pt>
                <c:pt idx="11">
                  <c:v>5.8500000000000003E-2</c:v>
                </c:pt>
                <c:pt idx="12">
                  <c:v>5.8500000000000003E-2</c:v>
                </c:pt>
                <c:pt idx="13">
                  <c:v>5.8500000000000003E-2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EB-4506-9FE1-AD31552F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27871638242529101"/>
          <c:y val="0.15183600713012482"/>
          <c:w val="0.59503360286242246"/>
          <c:h val="6.446671438797423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{"IRR"}</c:f>
              <c:strCache>
                <c:ptCount val="1"/>
                <c:pt idx="0">
                  <c:v>IRR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outputs'!$B$24:$O$24</c:f>
              <c:numCache>
                <c:formatCode>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0.58195841752130995</c:v>
                </c:pt>
                <c:pt idx="3">
                  <c:v>1.899330526266283</c:v>
                </c:pt>
                <c:pt idx="4">
                  <c:v>2.9475491668254357</c:v>
                </c:pt>
                <c:pt idx="5">
                  <c:v>3.9691409423646942</c:v>
                </c:pt>
                <c:pt idx="6">
                  <c:v>4.9841047649119021</c:v>
                </c:pt>
                <c:pt idx="7">
                  <c:v>5.9968565254431638</c:v>
                </c:pt>
                <c:pt idx="8">
                  <c:v>7.008726081049824</c:v>
                </c:pt>
                <c:pt idx="9">
                  <c:v>9.0314694943548055</c:v>
                </c:pt>
                <c:pt idx="10">
                  <c:v>11.053742780157558</c:v>
                </c:pt>
                <c:pt idx="11">
                  <c:v>13.075861929342373</c:v>
                </c:pt>
                <c:pt idx="12">
                  <c:v>15.097920609866133</c:v>
                </c:pt>
                <c:pt idx="13">
                  <c:v>17.119952308712499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7-454B-B279-1C2563A0B21E}"/>
            </c:ext>
          </c:extLst>
        </c:ser>
        <c:ser>
          <c:idx val="3"/>
          <c:order val="1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47-454B-B279-1C2563A0B21E}"/>
            </c:ext>
          </c:extLst>
        </c:ser>
        <c:ser>
          <c:idx val="1"/>
          <c:order val="2"/>
          <c:tx>
            <c:v>NSP regulated return rate</c:v>
          </c:tx>
          <c:spPr>
            <a:ln w="38100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outputs'!$B$26:$O$26</c:f>
              <c:numCache>
                <c:formatCode>0.00%</c:formatCode>
                <c:ptCount val="14"/>
                <c:pt idx="0">
                  <c:v>5.8500000000000003E-2</c:v>
                </c:pt>
                <c:pt idx="1">
                  <c:v>5.8500000000000003E-2</c:v>
                </c:pt>
                <c:pt idx="2">
                  <c:v>5.8500000000000003E-2</c:v>
                </c:pt>
                <c:pt idx="3">
                  <c:v>5.8500000000000003E-2</c:v>
                </c:pt>
                <c:pt idx="4">
                  <c:v>5.8500000000000003E-2</c:v>
                </c:pt>
                <c:pt idx="5">
                  <c:v>5.8500000000000003E-2</c:v>
                </c:pt>
                <c:pt idx="6">
                  <c:v>5.8500000000000003E-2</c:v>
                </c:pt>
                <c:pt idx="7">
                  <c:v>5.8500000000000003E-2</c:v>
                </c:pt>
                <c:pt idx="8">
                  <c:v>5.8500000000000003E-2</c:v>
                </c:pt>
                <c:pt idx="9">
                  <c:v>5.8500000000000003E-2</c:v>
                </c:pt>
                <c:pt idx="10">
                  <c:v>5.8500000000000003E-2</c:v>
                </c:pt>
                <c:pt idx="11">
                  <c:v>5.8500000000000003E-2</c:v>
                </c:pt>
                <c:pt idx="12">
                  <c:v>5.8500000000000003E-2</c:v>
                </c:pt>
                <c:pt idx="13">
                  <c:v>5.8500000000000003E-2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47-454B-B279-1C2563A0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/>
                  <a:t>Internal Rate of Return</a:t>
                </a:r>
                <a:r>
                  <a:rPr lang="en-AU" sz="1400" baseline="0"/>
                  <a:t> (IRR)</a:t>
                </a:r>
                <a:endParaRPr lang="en-A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"/>
          <c:y val="0.17231638418079095"/>
          <c:w val="0.9"/>
          <c:h val="6.8108901641532091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{"IRR"}</c:f>
              <c:strCache>
                <c:ptCount val="1"/>
                <c:pt idx="0">
                  <c:v>IRR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outputs'!$B$24:$O$24</c:f>
              <c:numCache>
                <c:formatCode>0%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0.58195841752130995</c:v>
                </c:pt>
                <c:pt idx="3">
                  <c:v>1.899330526266283</c:v>
                </c:pt>
                <c:pt idx="4">
                  <c:v>2.9475491668254357</c:v>
                </c:pt>
                <c:pt idx="5">
                  <c:v>3.9691409423646942</c:v>
                </c:pt>
                <c:pt idx="6">
                  <c:v>4.9841047649119021</c:v>
                </c:pt>
                <c:pt idx="7">
                  <c:v>5.9968565254431638</c:v>
                </c:pt>
                <c:pt idx="8">
                  <c:v>7.008726081049824</c:v>
                </c:pt>
                <c:pt idx="9">
                  <c:v>9.0314694943548055</c:v>
                </c:pt>
                <c:pt idx="10">
                  <c:v>11.053742780157558</c:v>
                </c:pt>
                <c:pt idx="11">
                  <c:v>13.075861929342373</c:v>
                </c:pt>
                <c:pt idx="12">
                  <c:v>15.097920609866133</c:v>
                </c:pt>
                <c:pt idx="13">
                  <c:v>17.119952308712499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6-4632-93CA-87EAE6CE95B8}"/>
            </c:ext>
          </c:extLst>
        </c:ser>
        <c:ser>
          <c:idx val="3"/>
          <c:order val="1"/>
          <c:tx>
            <c:strRef>
              <c:f>'IRR inputs &amp; outputs'!$A$27</c:f>
              <c:strCache>
                <c:ptCount val="1"/>
                <c:pt idx="0">
                  <c:v>Commercial
hurdle rate</c:v>
                </c:pt>
              </c:strCache>
            </c:strRef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'IRR inputs &amp; outputs'!$B$23:$O$23</c:f>
              <c:numCache>
                <c:formatCode>0%</c:formatCode>
                <c:ptCount val="14"/>
                <c:pt idx="0">
                  <c:v>0.05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</c:numCache>
            </c:numRef>
          </c:xVal>
          <c:yVal>
            <c:numRef>
              <c:f>'IRR inputs &amp; outputs'!$B$27:$O$27</c:f>
              <c:numCache>
                <c:formatCode>0%</c:formatCode>
                <c:ptCount val="14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A6-4632-93CA-87EAE6CE9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8000"/>
        <c:axId val="585089440"/>
      </c:scatterChart>
      <c:valAx>
        <c:axId val="585088000"/>
        <c:scaling>
          <c:orientation val="minMax"/>
          <c:max val="0.3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Utilisation (% per charging space)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9440"/>
        <c:crosses val="autoZero"/>
        <c:crossBetween val="midCat"/>
      </c:valAx>
      <c:valAx>
        <c:axId val="585089440"/>
        <c:scaling>
          <c:orientation val="minMax"/>
          <c:max val="0.6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Internal Rate of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800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"/>
          <c:y val="0.17231638418079095"/>
          <c:w val="0.9"/>
          <c:h val="6.8108901641532091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3"/>
          <c:order val="0"/>
          <c:tx>
            <c:strRef>
              <c:f>'Bar chart'!$A$6</c:f>
              <c:strCache>
                <c:ptCount val="1"/>
                <c:pt idx="0">
                  <c:v>Retailer opex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'Bar chart'!$B$6:$C$6</c:f>
              <c:numCache>
                <c:formatCode>General</c:formatCode>
                <c:ptCount val="2"/>
                <c:pt idx="0" formatCode="_-[$$-409]* #,##0.00_ ;_-[$$-409]* \-#,##0.00\ ;_-[$$-409]* &quot;-&quot;??_ ;_-@_ ">
                  <c:v>13504.61755263158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DF-41FA-9E65-E26501483BBC}"/>
            </c:ext>
          </c:extLst>
        </c:ser>
        <c:ser>
          <c:idx val="2"/>
          <c:order val="1"/>
          <c:tx>
            <c:strRef>
              <c:f>'Bar chart'!$A$5</c:f>
              <c:strCache>
                <c:ptCount val="1"/>
                <c:pt idx="0">
                  <c:v>DNSP opex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'Bar chart'!$B$5:$C$5</c:f>
              <c:numCache>
                <c:formatCode>General</c:formatCode>
                <c:ptCount val="2"/>
                <c:pt idx="0" formatCode="_-[$$-409]* #,##0_ ;_-[$$-409]* \-#,##0\ ;_-[$$-409]* &quot;-&quot;??_ ;_-@_ 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DF-41FA-9E65-E26501483BBC}"/>
            </c:ext>
          </c:extLst>
        </c:ser>
        <c:ser>
          <c:idx val="1"/>
          <c:order val="2"/>
          <c:tx>
            <c:strRef>
              <c:f>'Bar chart'!$A$4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'Bar chart'!$B$4:$C$4</c:f>
              <c:numCache>
                <c:formatCode>General</c:formatCode>
                <c:ptCount val="2"/>
                <c:pt idx="0" formatCode="&quot;$&quot;#,##0_);[Red]\(&quot;$&quot;#,##0\)">
                  <c:v>3849.9999999999995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DF-41FA-9E65-E26501483BBC}"/>
            </c:ext>
          </c:extLst>
        </c:ser>
        <c:ser>
          <c:idx val="0"/>
          <c:order val="3"/>
          <c:tx>
            <c:strRef>
              <c:f>'Bar chart'!$A$3</c:f>
              <c:strCache>
                <c:ptCount val="1"/>
                <c:pt idx="0">
                  <c:v>Taxpayer subsidy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'Bar chart'!$B$3:$C$3</c:f>
              <c:numCache>
                <c:formatCode>General</c:formatCode>
                <c:ptCount val="2"/>
                <c:pt idx="0" formatCode="&quot;$&quot;#,##0_);[Red]\(&quot;$&quot;#,##0\)">
                  <c:v>1154.9999999999998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DF-41FA-9E65-E26501483BBC}"/>
            </c:ext>
          </c:extLst>
        </c:ser>
        <c:ser>
          <c:idx val="4"/>
          <c:order val="4"/>
          <c:tx>
            <c:strRef>
              <c:f>'Bar chart'!$A$7</c:f>
              <c:strCache>
                <c:ptCount val="1"/>
                <c:pt idx="0">
                  <c:v>Revenue to retailer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'Bar chart'!$B$7:$C$7</c:f>
              <c:numCache>
                <c:formatCode>_-[$$-409]* #,##0.00_ ;_-[$$-409]* \-#,##0.00\ ;_-[$$-409]* "-"??_ ;_-@_ </c:formatCode>
                <c:ptCount val="2"/>
                <c:pt idx="1">
                  <c:v>14855.079307894739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DF-41FA-9E65-E26501483BBC}"/>
            </c:ext>
          </c:extLst>
        </c:ser>
        <c:ser>
          <c:idx val="5"/>
          <c:order val="5"/>
          <c:tx>
            <c:strRef>
              <c:f>'Bar chart'!$A$8</c:f>
              <c:strCache>
                <c:ptCount val="1"/>
                <c:pt idx="0">
                  <c:v>DNSP revenue potential or benefit to EV drivers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'Bar chart'!$B$8:$C$8</c:f>
              <c:numCache>
                <c:formatCode>_-[$$-409]* #,##0.00_ ;_-[$$-409]* \-#,##0.00\ ;_-[$$-409]* "-"??_ ;_-@_ </c:formatCode>
                <c:ptCount val="2"/>
                <c:pt idx="1">
                  <c:v>7259.54069210526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7DF-41FA-9E65-E26501483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8700935"/>
        <c:axId val="1408702983"/>
      </c:barChart>
      <c:catAx>
        <c:axId val="14087009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02983"/>
        <c:crosses val="autoZero"/>
        <c:auto val="1"/>
        <c:lblAlgn val="ctr"/>
        <c:lblOffset val="100"/>
        <c:noMultiLvlLbl val="0"/>
      </c:catAx>
      <c:valAx>
        <c:axId val="14087029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0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152400</xdr:rowOff>
    </xdr:from>
    <xdr:to>
      <xdr:col>14</xdr:col>
      <xdr:colOff>504825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6A4C8-39CD-4BF2-80A2-0BD2A0F25775}"/>
            </a:ext>
            <a:ext uri="{147F2762-F138-4A5C-976F-8EAC2B608ADB}">
              <a16:predDERef xmlns:a16="http://schemas.microsoft.com/office/drawing/2014/main" pred="{937F27EF-16A9-65C5-275C-825FD9003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</xdr:colOff>
      <xdr:row>20</xdr:row>
      <xdr:rowOff>0</xdr:rowOff>
    </xdr:from>
    <xdr:to>
      <xdr:col>25</xdr:col>
      <xdr:colOff>400050</xdr:colOff>
      <xdr:row>37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1D3DB-A89B-4F3C-BEA0-06892651F0EB}"/>
            </a:ext>
            <a:ext uri="{147F2762-F138-4A5C-976F-8EAC2B608ADB}">
              <a16:predDERef xmlns:a16="http://schemas.microsoft.com/office/drawing/2014/main" pred="{3316A4C8-39CD-4BF2-80A2-0BD2A0F25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85725</xdr:colOff>
      <xdr:row>0</xdr:row>
      <xdr:rowOff>238125</xdr:rowOff>
    </xdr:from>
    <xdr:to>
      <xdr:col>23</xdr:col>
      <xdr:colOff>514350</xdr:colOff>
      <xdr:row>17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8357E0-7883-476F-9B4D-E7F138DFBDB6}"/>
            </a:ext>
            <a:ext uri="{147F2762-F138-4A5C-976F-8EAC2B608ADB}">
              <a16:predDERef xmlns:a16="http://schemas.microsoft.com/office/drawing/2014/main" pred="{1FC1D3DB-A89B-4F3C-BEA0-06892651F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7</xdr:row>
      <xdr:rowOff>266700</xdr:rowOff>
    </xdr:from>
    <xdr:to>
      <xdr:col>15</xdr:col>
      <xdr:colOff>314325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AF9EA-B1FF-FAE9-BB64-6CA67ACF0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opLeftCell="A16" zoomScale="81" workbookViewId="0">
      <selection activeCell="H34" sqref="H34"/>
    </sheetView>
  </sheetViews>
  <sheetFormatPr defaultRowHeight="15" customHeight="1"/>
  <cols>
    <col min="1" max="1" width="43" customWidth="1"/>
    <col min="2" max="2" width="12.140625" bestFit="1" customWidth="1"/>
    <col min="3" max="3" width="12.7109375" customWidth="1"/>
    <col min="4" max="4" width="15" customWidth="1"/>
    <col min="5" max="5" width="13.5703125" customWidth="1"/>
    <col min="6" max="6" width="11.5703125" customWidth="1"/>
    <col min="7" max="7" width="12.28515625" customWidth="1"/>
    <col min="8" max="8" width="10.28515625" customWidth="1"/>
    <col min="9" max="10" width="8.28515625" bestFit="1" customWidth="1"/>
    <col min="11" max="11" width="8.140625" customWidth="1"/>
    <col min="12" max="12" width="8.140625" bestFit="1" customWidth="1"/>
    <col min="13" max="13" width="8.140625" customWidth="1"/>
    <col min="14" max="14" width="9.140625" bestFit="1" customWidth="1"/>
    <col min="15" max="15" width="8.140625" customWidth="1"/>
    <col min="16" max="16" width="9.140625" bestFit="1" customWidth="1"/>
    <col min="17" max="21" width="8.140625" bestFit="1" customWidth="1"/>
  </cols>
  <sheetData>
    <row r="1" spans="1:7" ht="30.75">
      <c r="A1" s="51" t="s">
        <v>0</v>
      </c>
      <c r="B1" s="52"/>
      <c r="C1" s="53"/>
      <c r="D1" s="54" t="s">
        <v>1</v>
      </c>
      <c r="E1" s="38" t="s">
        <v>2</v>
      </c>
      <c r="F1" s="38" t="s">
        <v>3</v>
      </c>
      <c r="G1" s="39" t="s">
        <v>4</v>
      </c>
    </row>
    <row r="2" spans="1:7">
      <c r="A2" s="7" t="s">
        <v>5</v>
      </c>
      <c r="B2">
        <v>22</v>
      </c>
      <c r="C2" s="53"/>
      <c r="D2" s="55"/>
      <c r="E2">
        <v>22</v>
      </c>
      <c r="F2">
        <v>22</v>
      </c>
      <c r="G2" s="21">
        <v>40</v>
      </c>
    </row>
    <row r="3" spans="1:7">
      <c r="A3" s="7" t="s">
        <v>6</v>
      </c>
      <c r="B3">
        <v>1</v>
      </c>
      <c r="C3" s="53"/>
      <c r="D3" s="55"/>
      <c r="E3">
        <v>1</v>
      </c>
      <c r="F3">
        <v>2</v>
      </c>
      <c r="G3" s="21">
        <v>2</v>
      </c>
    </row>
    <row r="4" spans="1:7">
      <c r="A4" s="7" t="s">
        <v>7</v>
      </c>
      <c r="B4" s="40">
        <v>5000</v>
      </c>
      <c r="C4" s="53"/>
      <c r="D4" s="55"/>
      <c r="E4" s="40">
        <v>5000</v>
      </c>
      <c r="F4" s="40">
        <v>30000</v>
      </c>
      <c r="G4" s="25">
        <v>50000</v>
      </c>
    </row>
    <row r="5" spans="1:7">
      <c r="A5" s="7" t="s">
        <v>8</v>
      </c>
      <c r="B5" s="4">
        <v>1</v>
      </c>
      <c r="C5" s="53"/>
      <c r="D5" s="55"/>
      <c r="E5" s="40"/>
      <c r="F5" s="40"/>
      <c r="G5" s="27">
        <v>0</v>
      </c>
    </row>
    <row r="6" spans="1:7">
      <c r="A6" s="7" t="s">
        <v>9</v>
      </c>
      <c r="B6" s="22">
        <f>B4*(1-B5)</f>
        <v>0</v>
      </c>
      <c r="C6" s="53"/>
      <c r="D6" s="55"/>
      <c r="E6" s="48">
        <f>E4*(1-E5)</f>
        <v>5000</v>
      </c>
      <c r="F6" s="48">
        <f>F4*(1-F5)</f>
        <v>30000</v>
      </c>
      <c r="G6" s="22">
        <f>G4*(1-G5)</f>
        <v>50000</v>
      </c>
    </row>
    <row r="7" spans="1:7">
      <c r="A7" s="7" t="s">
        <v>10</v>
      </c>
      <c r="B7" s="34">
        <v>0.51</v>
      </c>
      <c r="C7" s="53"/>
      <c r="D7" s="55"/>
      <c r="E7" s="34">
        <v>0.51</v>
      </c>
      <c r="F7" s="34">
        <v>0.51</v>
      </c>
      <c r="G7" s="29">
        <v>0.62</v>
      </c>
    </row>
    <row r="8" spans="1:7">
      <c r="A8" s="7" t="s">
        <v>11</v>
      </c>
      <c r="B8" s="27">
        <v>0.95</v>
      </c>
      <c r="C8" s="53"/>
      <c r="D8" s="55"/>
      <c r="E8" s="5">
        <v>0.95</v>
      </c>
      <c r="F8" s="5">
        <v>0.95</v>
      </c>
      <c r="G8" s="27">
        <v>0.95</v>
      </c>
    </row>
    <row r="9" spans="1:7">
      <c r="A9" s="7" t="s">
        <v>12</v>
      </c>
      <c r="B9" s="35">
        <v>0.2</v>
      </c>
      <c r="C9" s="53"/>
      <c r="D9" s="55"/>
      <c r="E9" s="35">
        <v>0.2</v>
      </c>
      <c r="F9" s="35">
        <v>0.2</v>
      </c>
      <c r="G9" s="30">
        <v>0.2</v>
      </c>
    </row>
    <row r="10" spans="1:7">
      <c r="A10" s="7" t="s">
        <v>13</v>
      </c>
      <c r="B10" s="36"/>
      <c r="C10" s="53"/>
      <c r="D10" s="55"/>
      <c r="E10" s="36"/>
      <c r="F10" s="36"/>
      <c r="G10" s="31">
        <v>0</v>
      </c>
    </row>
    <row r="11" spans="1:7">
      <c r="A11" s="7" t="s">
        <v>14</v>
      </c>
      <c r="B11" s="24">
        <v>7.4999999999999997E-2</v>
      </c>
      <c r="C11" s="53"/>
      <c r="D11" s="55"/>
      <c r="E11" s="49">
        <v>7.4999999999999997E-2</v>
      </c>
      <c r="F11" s="49">
        <v>7.4999999999999997E-2</v>
      </c>
      <c r="G11" s="24">
        <v>7.4999999999999997E-2</v>
      </c>
    </row>
    <row r="12" spans="1:7">
      <c r="A12" s="7" t="s">
        <v>15</v>
      </c>
      <c r="B12" s="16">
        <v>300</v>
      </c>
      <c r="C12" s="53"/>
      <c r="D12" s="55"/>
      <c r="E12" s="16">
        <v>300</v>
      </c>
      <c r="F12" s="16">
        <v>600</v>
      </c>
      <c r="G12" s="22">
        <v>600</v>
      </c>
    </row>
    <row r="13" spans="1:7">
      <c r="A13" s="7" t="s">
        <v>16</v>
      </c>
      <c r="B13" s="37">
        <v>0.45</v>
      </c>
      <c r="C13" s="53"/>
      <c r="D13" s="55"/>
      <c r="E13" s="37">
        <v>0.45</v>
      </c>
      <c r="F13" s="37">
        <v>0.45</v>
      </c>
      <c r="G13" s="23">
        <v>0.55000000000000004</v>
      </c>
    </row>
    <row r="14" spans="1:7">
      <c r="A14" s="10" t="s">
        <v>17</v>
      </c>
      <c r="B14" s="41">
        <v>500</v>
      </c>
      <c r="C14" s="53"/>
      <c r="D14" s="55"/>
      <c r="E14" s="41">
        <v>500</v>
      </c>
      <c r="F14" s="41">
        <v>500</v>
      </c>
      <c r="G14" s="25">
        <v>750</v>
      </c>
    </row>
    <row r="15" spans="1:7">
      <c r="A15" s="10" t="s">
        <v>18</v>
      </c>
      <c r="B15" s="41">
        <v>3000</v>
      </c>
      <c r="C15" s="53"/>
      <c r="D15" s="55"/>
      <c r="E15" s="41">
        <v>3000</v>
      </c>
      <c r="F15" s="41">
        <v>3000</v>
      </c>
      <c r="G15" s="25">
        <v>35000</v>
      </c>
    </row>
    <row r="16" spans="1:7">
      <c r="A16" s="7" t="s">
        <v>19</v>
      </c>
      <c r="B16" s="40">
        <v>500</v>
      </c>
      <c r="C16" s="53"/>
      <c r="D16" s="55"/>
      <c r="E16" s="40">
        <v>500</v>
      </c>
      <c r="F16" s="40">
        <v>500</v>
      </c>
      <c r="G16" s="25">
        <v>1000</v>
      </c>
    </row>
    <row r="17" spans="1:15">
      <c r="A17" s="7" t="s">
        <v>20</v>
      </c>
      <c r="B17" s="42">
        <v>750</v>
      </c>
      <c r="C17" s="53"/>
      <c r="D17" s="56"/>
      <c r="E17" s="42">
        <v>750</v>
      </c>
      <c r="F17" s="42">
        <v>800</v>
      </c>
      <c r="G17" s="25">
        <v>5000</v>
      </c>
    </row>
    <row r="18" spans="1:15">
      <c r="A18" s="7" t="s">
        <v>21</v>
      </c>
      <c r="B18" s="24">
        <v>5.8500000000000003E-2</v>
      </c>
    </row>
    <row r="19" spans="1:15" ht="14.25">
      <c r="A19" s="11" t="s">
        <v>22</v>
      </c>
      <c r="B19" s="26">
        <v>0.12</v>
      </c>
    </row>
    <row r="20" spans="1:15" ht="14.25"/>
    <row r="21" spans="1:15" ht="14.25">
      <c r="B21" s="4"/>
    </row>
    <row r="22" spans="1:15" ht="14.25">
      <c r="A22" s="6" t="s">
        <v>23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</row>
    <row r="23" spans="1:15">
      <c r="A23" s="7" t="s">
        <v>24</v>
      </c>
      <c r="B23" s="46">
        <v>0.05</v>
      </c>
      <c r="C23" s="46">
        <v>7.4999999999999997E-2</v>
      </c>
      <c r="D23" s="46">
        <v>0.1</v>
      </c>
      <c r="E23" s="46">
        <v>0.125</v>
      </c>
      <c r="F23" s="46">
        <v>0.15</v>
      </c>
      <c r="G23" s="46">
        <v>0.17499999999999999</v>
      </c>
      <c r="H23" s="46">
        <v>0.2</v>
      </c>
      <c r="I23" s="46">
        <v>0.22500000000000001</v>
      </c>
      <c r="J23" s="46">
        <v>0.25</v>
      </c>
      <c r="K23" s="46">
        <v>0.3</v>
      </c>
      <c r="L23" s="46">
        <v>0.35</v>
      </c>
      <c r="M23" s="46">
        <v>0.4</v>
      </c>
      <c r="N23" s="46">
        <v>0.45</v>
      </c>
      <c r="O23" s="47">
        <v>0.5</v>
      </c>
    </row>
    <row r="24" spans="1:15" ht="14.25">
      <c r="A24" s="7" t="s">
        <v>25</v>
      </c>
      <c r="B24" s="32" t="e">
        <f>'5% utilisation'!B23</f>
        <v>#N/A</v>
      </c>
      <c r="C24" s="32" t="e">
        <f>'7.5% utilisation'!B23</f>
        <v>#N/A</v>
      </c>
      <c r="D24" s="32">
        <f>'10% utilisation'!B23</f>
        <v>0.58195841752130995</v>
      </c>
      <c r="E24" s="32">
        <f>'12.5% utilisation'!B23</f>
        <v>1.899330526266283</v>
      </c>
      <c r="F24" s="32">
        <f>'15% utilisation'!B23</f>
        <v>2.9475491668254357</v>
      </c>
      <c r="G24" s="32">
        <f>'17.5% utilisation'!B23</f>
        <v>3.9691409423646942</v>
      </c>
      <c r="H24" s="32">
        <f>'20% utilisation'!B23</f>
        <v>4.9841047649119021</v>
      </c>
      <c r="I24" s="32">
        <f>'22.5% utilisation'!B23</f>
        <v>5.9968565254431638</v>
      </c>
      <c r="J24" s="32">
        <f>'25% utilisation'!B23</f>
        <v>7.008726081049824</v>
      </c>
      <c r="K24" s="32">
        <f>'30% utilisation'!B23</f>
        <v>9.0314694943548055</v>
      </c>
      <c r="L24" s="32">
        <f>'35% utilisation'!B23</f>
        <v>11.053742780157558</v>
      </c>
      <c r="M24" s="32">
        <f>'40% utilisation'!B23</f>
        <v>13.075861929342373</v>
      </c>
      <c r="N24" s="32">
        <f>'45% utilisation'!B23</f>
        <v>15.097920609866133</v>
      </c>
      <c r="O24" s="33">
        <f>'50% utilisation'!B23</f>
        <v>17.119952308712499</v>
      </c>
    </row>
    <row r="25" spans="1:15" ht="14.25">
      <c r="A25" s="15" t="s">
        <v>26</v>
      </c>
      <c r="B25" s="16">
        <f>'5% utilisation'!C21</f>
        <v>-538.99975526315757</v>
      </c>
      <c r="C25" s="16">
        <f>'7.5% utilisation'!C21</f>
        <v>-33.499632894736806</v>
      </c>
      <c r="D25" s="16">
        <f>'10% utilisation'!C21</f>
        <v>472.00048947368487</v>
      </c>
      <c r="E25" s="16">
        <f>'12.5% utilisation'!C21</f>
        <v>977.50061184210517</v>
      </c>
      <c r="F25" s="16">
        <f>'15% utilisation'!C21</f>
        <v>1483.0007342105264</v>
      </c>
      <c r="G25" s="16">
        <f>'17.5% utilisation'!C21</f>
        <v>1988.5008565789476</v>
      </c>
      <c r="H25" s="16">
        <f>'20% utilisation'!C21</f>
        <v>2494.0009789473697</v>
      </c>
      <c r="I25" s="16">
        <f>'22.5% utilisation'!C21</f>
        <v>2999.5011013157891</v>
      </c>
      <c r="J25" s="16">
        <f>'25% utilisation'!C21</f>
        <v>3505.0012236842103</v>
      </c>
      <c r="K25" s="16">
        <f>'30% utilisation'!C21</f>
        <v>4516.0014684210528</v>
      </c>
      <c r="L25" s="16">
        <f>'35% utilisation'!C21</f>
        <v>5527.0017131578952</v>
      </c>
      <c r="M25" s="16">
        <f>'40% utilisation'!C21</f>
        <v>6538.0019578947395</v>
      </c>
      <c r="N25" s="16">
        <f>'45% utilisation'!C21</f>
        <v>7549.0022026315783</v>
      </c>
      <c r="O25" s="9">
        <f>'50% utilisation'!C21</f>
        <v>8560.0024473684207</v>
      </c>
    </row>
    <row r="26" spans="1:15" ht="14.25">
      <c r="A26" s="7" t="s">
        <v>27</v>
      </c>
      <c r="B26" s="17">
        <f t="shared" ref="B26:O26" si="0">$B$18</f>
        <v>5.8500000000000003E-2</v>
      </c>
      <c r="C26" s="17">
        <f t="shared" si="0"/>
        <v>5.8500000000000003E-2</v>
      </c>
      <c r="D26" s="17">
        <f t="shared" si="0"/>
        <v>5.8500000000000003E-2</v>
      </c>
      <c r="E26" s="17">
        <f t="shared" si="0"/>
        <v>5.8500000000000003E-2</v>
      </c>
      <c r="F26" s="17">
        <f t="shared" si="0"/>
        <v>5.8500000000000003E-2</v>
      </c>
      <c r="G26" s="17">
        <f t="shared" si="0"/>
        <v>5.8500000000000003E-2</v>
      </c>
      <c r="H26" s="17">
        <f t="shared" si="0"/>
        <v>5.8500000000000003E-2</v>
      </c>
      <c r="I26" s="17">
        <f t="shared" si="0"/>
        <v>5.8500000000000003E-2</v>
      </c>
      <c r="J26" s="17">
        <f t="shared" si="0"/>
        <v>5.8500000000000003E-2</v>
      </c>
      <c r="K26" s="17">
        <f t="shared" si="0"/>
        <v>5.8500000000000003E-2</v>
      </c>
      <c r="L26" s="17">
        <f t="shared" si="0"/>
        <v>5.8500000000000003E-2</v>
      </c>
      <c r="M26" s="17">
        <f t="shared" si="0"/>
        <v>5.8500000000000003E-2</v>
      </c>
      <c r="N26" s="17">
        <f t="shared" si="0"/>
        <v>5.8500000000000003E-2</v>
      </c>
      <c r="O26" s="18">
        <f t="shared" si="0"/>
        <v>5.8500000000000003E-2</v>
      </c>
    </row>
    <row r="27" spans="1:15" ht="30.75">
      <c r="A27" s="43" t="s">
        <v>28</v>
      </c>
      <c r="B27" s="4">
        <f t="shared" ref="B27:O27" si="1">$B$19</f>
        <v>0.12</v>
      </c>
      <c r="C27" s="4">
        <f t="shared" si="1"/>
        <v>0.12</v>
      </c>
      <c r="D27" s="4">
        <f t="shared" si="1"/>
        <v>0.12</v>
      </c>
      <c r="E27" s="4">
        <f t="shared" si="1"/>
        <v>0.12</v>
      </c>
      <c r="F27" s="4">
        <f t="shared" si="1"/>
        <v>0.12</v>
      </c>
      <c r="G27" s="4">
        <f t="shared" si="1"/>
        <v>0.12</v>
      </c>
      <c r="H27" s="4">
        <f t="shared" si="1"/>
        <v>0.12</v>
      </c>
      <c r="I27" s="4">
        <f t="shared" si="1"/>
        <v>0.12</v>
      </c>
      <c r="J27" s="4">
        <f t="shared" si="1"/>
        <v>0.12</v>
      </c>
      <c r="K27" s="4">
        <f t="shared" si="1"/>
        <v>0.12</v>
      </c>
      <c r="L27" s="4">
        <f t="shared" si="1"/>
        <v>0.12</v>
      </c>
      <c r="M27" s="4">
        <f t="shared" si="1"/>
        <v>0.12</v>
      </c>
      <c r="N27" s="4">
        <f t="shared" si="1"/>
        <v>0.12</v>
      </c>
      <c r="O27" s="19">
        <f t="shared" si="1"/>
        <v>0.12</v>
      </c>
    </row>
    <row r="28" spans="1:15" ht="14.25">
      <c r="A28" s="7"/>
      <c r="O28" s="8"/>
    </row>
    <row r="29" spans="1:15" ht="14.25">
      <c r="A29" s="7" t="s">
        <v>29</v>
      </c>
      <c r="B29" s="4" t="e">
        <f>'5% utilisation'!$B$125</f>
        <v>#N/A</v>
      </c>
      <c r="C29" s="4" t="e">
        <f>'7.5% utilisation'!$B$125</f>
        <v>#N/A</v>
      </c>
      <c r="D29" s="4" t="e">
        <f>'10% utilisation'!$B$125</f>
        <v>#N/A</v>
      </c>
      <c r="E29" s="4" t="e">
        <f>'12.5% utilisation'!$B$125</f>
        <v>#N/A</v>
      </c>
      <c r="F29" s="4" t="e">
        <f>'15% utilisation'!$B$125</f>
        <v>#N/A</v>
      </c>
      <c r="G29" s="4" t="e">
        <f>'17.5% utilisation'!$B$125</f>
        <v>#N/A</v>
      </c>
      <c r="H29" s="4" t="e">
        <f>'20% utilisation'!$B$125</f>
        <v>#N/A</v>
      </c>
      <c r="I29" s="4" t="e">
        <f>'22.5% utilisation'!$B$125</f>
        <v>#N/A</v>
      </c>
      <c r="J29" s="4" t="e">
        <f>'25% utilisation'!$B$125</f>
        <v>#N/A</v>
      </c>
      <c r="K29" s="4" t="e">
        <f>'30% utilisation'!$B$125</f>
        <v>#N/A</v>
      </c>
      <c r="L29" s="4" t="e">
        <f>'35% utilisation'!$B$125</f>
        <v>#N/A</v>
      </c>
      <c r="M29" s="4" t="e">
        <f>'40% utilisation'!$B$125</f>
        <v>#N/A</v>
      </c>
      <c r="N29" s="4" t="e">
        <f>'45% utilisation'!$B$125</f>
        <v>#N/A</v>
      </c>
      <c r="O29" s="19" t="e">
        <f>'50% utilisation'!$B$125</f>
        <v>#N/A</v>
      </c>
    </row>
    <row r="30" spans="1:15" ht="14.25">
      <c r="A30" s="11" t="s">
        <v>30</v>
      </c>
      <c r="B30" s="20" t="e">
        <f>'5% utilisation'!$B$126</f>
        <v>#N/A</v>
      </c>
      <c r="C30" s="20" t="e">
        <f>'7.5% utilisation'!$B$126</f>
        <v>#N/A</v>
      </c>
      <c r="D30" s="20" t="e">
        <f>'10% utilisation'!$B$126</f>
        <v>#N/A</v>
      </c>
      <c r="E30" s="20" t="e">
        <f>'12.5% utilisation'!$B$126</f>
        <v>#N/A</v>
      </c>
      <c r="F30" s="20" t="e">
        <f>'15% utilisation'!$B$126</f>
        <v>#N/A</v>
      </c>
      <c r="G30" s="20" t="e">
        <f>'17.5% utilisation'!$B$126</f>
        <v>#N/A</v>
      </c>
      <c r="H30" s="20" t="e">
        <f>'20% utilisation'!$B$126</f>
        <v>#N/A</v>
      </c>
      <c r="I30" s="20" t="e">
        <f>'22.5% utilisation'!$B$126</f>
        <v>#N/A</v>
      </c>
      <c r="J30" s="20" t="e">
        <f>'25% utilisation'!$B$126</f>
        <v>#N/A</v>
      </c>
      <c r="K30" s="20" t="e">
        <f>'30% utilisation'!$B$126</f>
        <v>#N/A</v>
      </c>
      <c r="L30" s="20" t="e">
        <f>'35% utilisation'!$B$126</f>
        <v>#N/A</v>
      </c>
      <c r="M30" s="20" t="e">
        <f>'40% utilisation'!$B$126</f>
        <v>#N/A</v>
      </c>
      <c r="N30" s="20" t="e">
        <f>'45% utilisation'!$B$126</f>
        <v>#N/A</v>
      </c>
      <c r="O30" s="12" t="e">
        <f>'50% utilisation'!$B$126</f>
        <v>#N/A</v>
      </c>
    </row>
    <row r="31" spans="1:15">
      <c r="A31" t="s">
        <v>31</v>
      </c>
      <c r="B31" s="41">
        <f>SUM('5% utilisation'!$C$16:$G$18)</f>
        <v>7502.3087763157901</v>
      </c>
      <c r="C31" s="41">
        <f>SUM('7.5% utilisation'!$C$16:$G$18)</f>
        <v>10503.463164473682</v>
      </c>
      <c r="D31" s="41">
        <f>SUM('10% utilisation'!$C$16:$G$18)</f>
        <v>13504.61755263158</v>
      </c>
      <c r="E31" s="41">
        <f>SUM('12.5% utilisation'!$C$16:$G$18)</f>
        <v>16505.771940789473</v>
      </c>
      <c r="F31" s="41">
        <f>SUM('15% utilisation'!$C$16:$G$18)</f>
        <v>19506.926328947364</v>
      </c>
      <c r="G31" s="41">
        <f>SUM('17.5% utilisation'!$C$16:$G$18)</f>
        <v>22508.080717105255</v>
      </c>
      <c r="H31" s="41">
        <f>SUM('20% utilisation'!$C$16:$G$18)</f>
        <v>25509.23510526316</v>
      </c>
    </row>
    <row r="32" spans="1:15">
      <c r="A32" t="s">
        <v>32</v>
      </c>
      <c r="B32" s="41">
        <f>SUM('5% utilisation'!$C$14:$G$15)</f>
        <v>6250</v>
      </c>
      <c r="C32" s="41">
        <f>SUM('7.5% utilisation'!$C$14:$G$15)</f>
        <v>6250</v>
      </c>
      <c r="D32" s="41">
        <f>SUM('10% utilisation'!$C$14:$G$15)</f>
        <v>6250</v>
      </c>
      <c r="E32" s="41">
        <f>SUM('12.5% utilisation'!$C$14:$G$15)</f>
        <v>6250</v>
      </c>
      <c r="F32" s="41">
        <f>SUM('15% utilisation'!$C$14:$G$15)</f>
        <v>6250</v>
      </c>
      <c r="G32" s="41">
        <f>SUM('17.5% utilisation'!$C$14:$G$15)</f>
        <v>6250</v>
      </c>
      <c r="H32" s="41">
        <f>SUM('20% utilisation'!$C$14:$G$15)</f>
        <v>6250</v>
      </c>
    </row>
    <row r="33" spans="1:15">
      <c r="A33" t="s">
        <v>33</v>
      </c>
      <c r="B33" s="41">
        <f>SUM('5% utilisation'!$C$9:$G$9)</f>
        <v>11057.31</v>
      </c>
      <c r="C33" s="41">
        <f>SUM('5% utilisation'!$C$9:$G$9)</f>
        <v>11057.31</v>
      </c>
      <c r="D33" s="41">
        <f>SUM('10% utilisation'!$C$9:$G$9)</f>
        <v>22114.62</v>
      </c>
      <c r="E33" s="41">
        <f>SUM('12.5% utilisation'!$C$9:$G$9)</f>
        <v>27643.274999999998</v>
      </c>
      <c r="F33" s="41">
        <f>SUM('5% utilisation'!$C$9:$G$9)</f>
        <v>11057.31</v>
      </c>
      <c r="G33" s="41">
        <f>SUM('17.5% utilisation'!$C$9:$G$9)</f>
        <v>38700.585000000006</v>
      </c>
      <c r="H33" s="41">
        <f>SUM('20% utilisation'!$C$9:$G$9)</f>
        <v>44229.24</v>
      </c>
    </row>
    <row r="34" spans="1:15" ht="14.25"/>
    <row r="35" spans="1:15" ht="14.25"/>
    <row r="36" spans="1:15">
      <c r="A36" s="1"/>
    </row>
    <row r="37" spans="1:15" ht="14.2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4.2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4.25"/>
    <row r="40" spans="1:15" ht="14.25"/>
    <row r="43" spans="1:15" ht="14.25"/>
    <row r="44" spans="1:15" ht="14.25"/>
    <row r="45" spans="1:15" ht="14.25"/>
  </sheetData>
  <mergeCells count="3">
    <mergeCell ref="A1:B1"/>
    <mergeCell ref="C1:C17"/>
    <mergeCell ref="D1:D1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7EAC-45FD-436C-B8DC-49E508681783}">
  <dimension ref="A1:C12"/>
  <sheetViews>
    <sheetView tabSelected="1" workbookViewId="0">
      <selection activeCell="O5" sqref="O5"/>
    </sheetView>
  </sheetViews>
  <sheetFormatPr defaultRowHeight="15"/>
  <cols>
    <col min="1" max="1" width="28.42578125" bestFit="1" customWidth="1"/>
    <col min="2" max="2" width="11.42578125" bestFit="1" customWidth="1"/>
    <col min="3" max="3" width="11" customWidth="1"/>
  </cols>
  <sheetData>
    <row r="1" spans="1:3">
      <c r="A1" t="s">
        <v>34</v>
      </c>
    </row>
    <row r="2" spans="1:3">
      <c r="A2" t="s">
        <v>35</v>
      </c>
      <c r="B2" s="4">
        <v>0.3</v>
      </c>
    </row>
    <row r="3" spans="1:3">
      <c r="A3" t="s">
        <v>36</v>
      </c>
      <c r="B3" s="40">
        <f>1*B4*B2</f>
        <v>1154.9999999999998</v>
      </c>
    </row>
    <row r="4" spans="1:3">
      <c r="A4" t="s">
        <v>7</v>
      </c>
      <c r="B4" s="40">
        <f>('IRR inputs &amp; outputs'!B4+'IRR inputs &amp; outputs'!B16)*(1-B2)</f>
        <v>3849.9999999999995</v>
      </c>
    </row>
    <row r="5" spans="1:3">
      <c r="A5" t="s">
        <v>32</v>
      </c>
      <c r="B5" s="41">
        <f>1*('IRR inputs &amp; outputs'!D32)</f>
        <v>6250</v>
      </c>
    </row>
    <row r="6" spans="1:3">
      <c r="A6" t="s">
        <v>37</v>
      </c>
      <c r="B6" s="50">
        <f>1*('IRR inputs &amp; outputs'!D31)</f>
        <v>13504.61755263158</v>
      </c>
    </row>
    <row r="7" spans="1:3">
      <c r="A7" s="44" t="s">
        <v>38</v>
      </c>
      <c r="B7" s="41"/>
      <c r="C7" s="50">
        <f>B6*1.1</f>
        <v>14855.079307894739</v>
      </c>
    </row>
    <row r="8" spans="1:3" ht="30.75">
      <c r="A8" s="44" t="s">
        <v>39</v>
      </c>
      <c r="B8" s="41"/>
      <c r="C8" s="50">
        <f>C10-C7</f>
        <v>7259.54069210526</v>
      </c>
    </row>
    <row r="9" spans="1:3">
      <c r="A9" s="44"/>
      <c r="B9" s="40"/>
      <c r="C9" s="40"/>
    </row>
    <row r="10" spans="1:3">
      <c r="A10" s="44" t="s">
        <v>40</v>
      </c>
      <c r="C10" s="41">
        <f>'IRR inputs &amp; outputs'!D33</f>
        <v>22114.62</v>
      </c>
    </row>
    <row r="11" spans="1:3">
      <c r="A11" s="44"/>
    </row>
    <row r="12" spans="1:3">
      <c r="A12" s="4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3D72-3F68-449A-B466-A0A60B0A281E}">
  <dimension ref="A1:T126"/>
  <sheetViews>
    <sheetView workbookViewId="0">
      <selection activeCell="L18" sqref="A17:L18"/>
    </sheetView>
  </sheetViews>
  <sheetFormatPr defaultRowHeight="14.25"/>
  <cols>
    <col min="1" max="1" width="23.5703125" customWidth="1"/>
  </cols>
  <sheetData>
    <row r="1" spans="1:15">
      <c r="A1" s="1" t="s">
        <v>24</v>
      </c>
      <c r="B1" s="5">
        <v>0.05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4914.3599999999997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2211.462</v>
      </c>
      <c r="D7" s="2">
        <f>$B$3*'IRR inputs &amp; outputs'!$B$13</f>
        <v>2211.462</v>
      </c>
      <c r="E7" s="2">
        <f>$B$3*'IRR inputs &amp; outputs'!$B$13</f>
        <v>2211.462</v>
      </c>
      <c r="F7" s="2">
        <f>$B$3*'IRR inputs &amp; outputs'!$B$13</f>
        <v>2211.462</v>
      </c>
      <c r="G7" s="2">
        <f>$B$3*'IRR inputs &amp; outputs'!$B$13</f>
        <v>2211.462</v>
      </c>
      <c r="H7" s="2">
        <f>$B$3*'IRR inputs &amp; outputs'!$B$13</f>
        <v>2211.462</v>
      </c>
      <c r="I7" s="2">
        <f>$B$3*'IRR inputs &amp; outputs'!$B$13</f>
        <v>2211.462</v>
      </c>
      <c r="J7" s="2">
        <f>$B$3*'IRR inputs &amp; outputs'!$B$13</f>
        <v>2211.462</v>
      </c>
      <c r="K7" s="2">
        <f>$B$3*'IRR inputs &amp; outputs'!$B$13</f>
        <v>2211.462</v>
      </c>
      <c r="L7" s="2">
        <f>$B$3*'IRR inputs &amp; outputs'!$B$13</f>
        <v>2211.462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2211.462</v>
      </c>
      <c r="D9" s="2">
        <f t="shared" si="0"/>
        <v>2211.462</v>
      </c>
      <c r="E9" s="2">
        <f t="shared" si="0"/>
        <v>2211.462</v>
      </c>
      <c r="F9" s="2">
        <f t="shared" si="0"/>
        <v>2211.462</v>
      </c>
      <c r="G9" s="2">
        <f t="shared" si="0"/>
        <v>2211.462</v>
      </c>
      <c r="H9" s="2">
        <f t="shared" si="0"/>
        <v>2211.462</v>
      </c>
      <c r="I9" s="2">
        <f t="shared" si="0"/>
        <v>2211.462</v>
      </c>
      <c r="J9" s="2">
        <f t="shared" si="0"/>
        <v>2211.462</v>
      </c>
      <c r="K9" s="2">
        <f t="shared" si="0"/>
        <v>2211.462</v>
      </c>
      <c r="L9" s="2">
        <f t="shared" si="0"/>
        <v>2211.462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1034.6021052631577</v>
      </c>
      <c r="D16" s="2">
        <f>(1/'IRR inputs &amp; outputs'!$B$8)*$B$3*'IRR inputs &amp; outputs'!$B$9+'IRR inputs &amp; outputs'!$B$10</f>
        <v>1034.6021052631577</v>
      </c>
      <c r="E16" s="2">
        <f>(1/'IRR inputs &amp; outputs'!$B$8)*$B$3*'IRR inputs &amp; outputs'!$B$9+'IRR inputs &amp; outputs'!$B$10</f>
        <v>1034.6021052631577</v>
      </c>
      <c r="F16" s="2">
        <f>(1/'IRR inputs &amp; outputs'!$B$8)*$B$3*'IRR inputs &amp; outputs'!$B$9+'IRR inputs &amp; outputs'!$B$10</f>
        <v>1034.6021052631577</v>
      </c>
      <c r="G16" s="2">
        <f>(1/'IRR inputs &amp; outputs'!$B$8)*$B$3*'IRR inputs &amp; outputs'!$B$9+'IRR inputs &amp; outputs'!$B$10</f>
        <v>1034.6021052631577</v>
      </c>
      <c r="H16" s="2">
        <f>(1/'IRR inputs &amp; outputs'!$B$8)*$B$3*'IRR inputs &amp; outputs'!$B$9+'IRR inputs &amp; outputs'!$B$10</f>
        <v>1034.6021052631577</v>
      </c>
      <c r="I16" s="2">
        <f>(1/'IRR inputs &amp; outputs'!$B$8)*$B$3*'IRR inputs &amp; outputs'!$B$9+'IRR inputs &amp; outputs'!$B$10</f>
        <v>1034.6021052631577</v>
      </c>
      <c r="J16" s="2">
        <f>(1/'IRR inputs &amp; outputs'!$B$8)*$B$3*'IRR inputs &amp; outputs'!$B$9+'IRR inputs &amp; outputs'!$B$10</f>
        <v>1034.6021052631577</v>
      </c>
      <c r="K16" s="2">
        <f>(1/'IRR inputs &amp; outputs'!$B$8)*$B$3*'IRR inputs &amp; outputs'!$B$9+'IRR inputs &amp; outputs'!$B$10</f>
        <v>1034.6021052631577</v>
      </c>
      <c r="L16" s="2">
        <f>(1/'IRR inputs &amp; outputs'!$B$8)*$B$3*'IRR inputs &amp; outputs'!$B$9+'IRR inputs &amp; outputs'!$B$10</f>
        <v>1034.6021052631577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165.85964999999999</v>
      </c>
      <c r="D18" s="2">
        <f>$B$3*'IRR inputs &amp; outputs'!$B$11*'IRR inputs &amp; outputs'!$B$13</f>
        <v>165.85964999999999</v>
      </c>
      <c r="E18" s="2">
        <f>$B$3*'IRR inputs &amp; outputs'!$B$11*'IRR inputs &amp; outputs'!$B$13</f>
        <v>165.85964999999999</v>
      </c>
      <c r="F18" s="2">
        <f>$B$3*'IRR inputs &amp; outputs'!$B$11*'IRR inputs &amp; outputs'!$B$13</f>
        <v>165.85964999999999</v>
      </c>
      <c r="G18" s="2">
        <f>$B$3*'IRR inputs &amp; outputs'!$B$11*'IRR inputs &amp; outputs'!$B$13</f>
        <v>165.85964999999999</v>
      </c>
      <c r="H18" s="2">
        <f>$B$3*'IRR inputs &amp; outputs'!$B$11*'IRR inputs &amp; outputs'!$B$13</f>
        <v>165.85964999999999</v>
      </c>
      <c r="I18" s="2">
        <f>$B$3*'IRR inputs &amp; outputs'!$B$11*'IRR inputs &amp; outputs'!$B$13</f>
        <v>165.85964999999999</v>
      </c>
      <c r="J18" s="2">
        <f>$B$3*'IRR inputs &amp; outputs'!$B$11*'IRR inputs &amp; outputs'!$B$13</f>
        <v>165.85964999999999</v>
      </c>
      <c r="K18" s="2">
        <f>$B$3*'IRR inputs &amp; outputs'!$B$11*'IRR inputs &amp; outputs'!$B$13</f>
        <v>165.85964999999999</v>
      </c>
      <c r="L18" s="2">
        <f>$B$3*'IRR inputs &amp; outputs'!$B$11*'IRR inputs &amp; outputs'!$B$13</f>
        <v>165.85964999999999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2750.4617552631576</v>
      </c>
      <c r="D19" s="3">
        <f t="shared" si="1"/>
        <v>2750.4617552631576</v>
      </c>
      <c r="E19" s="3">
        <f t="shared" si="1"/>
        <v>2750.4617552631576</v>
      </c>
      <c r="F19" s="3">
        <f t="shared" si="1"/>
        <v>2750.4617552631576</v>
      </c>
      <c r="G19" s="3">
        <f t="shared" si="1"/>
        <v>5750.461755263158</v>
      </c>
      <c r="H19" s="3">
        <f t="shared" si="1"/>
        <v>2750.4617552631576</v>
      </c>
      <c r="I19" s="3">
        <f t="shared" si="1"/>
        <v>2750.4617552631576</v>
      </c>
      <c r="J19" s="3">
        <f t="shared" si="1"/>
        <v>2750.4617552631576</v>
      </c>
      <c r="K19" s="3">
        <f t="shared" si="1"/>
        <v>2750.4617552631576</v>
      </c>
      <c r="L19" s="3">
        <f t="shared" si="1"/>
        <v>2750.4617552631576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-538.99975526315757</v>
      </c>
      <c r="D21" s="3">
        <f t="shared" si="2"/>
        <v>-538.99975526315757</v>
      </c>
      <c r="E21" s="3">
        <f t="shared" si="2"/>
        <v>-538.99975526315757</v>
      </c>
      <c r="F21" s="3">
        <f t="shared" si="2"/>
        <v>-538.99975526315757</v>
      </c>
      <c r="G21" s="3">
        <f t="shared" si="2"/>
        <v>-3538.999755263158</v>
      </c>
      <c r="H21" s="3">
        <f t="shared" si="2"/>
        <v>-538.99975526315757</v>
      </c>
      <c r="I21" s="3">
        <f t="shared" si="2"/>
        <v>-538.99975526315757</v>
      </c>
      <c r="J21" s="3">
        <f t="shared" si="2"/>
        <v>-538.99975526315757</v>
      </c>
      <c r="K21" s="3">
        <f t="shared" si="2"/>
        <v>-538.99975526315757</v>
      </c>
      <c r="L21" s="3">
        <f t="shared" si="2"/>
        <v>-538.99975526315757</v>
      </c>
    </row>
    <row r="23" spans="1:12">
      <c r="A23" t="s">
        <v>25</v>
      </c>
      <c r="B23" s="4" t="e">
        <f>IFERROR(IRR(B21:L21),NA())</f>
        <v>#N/A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-538.99975526315757</v>
      </c>
      <c r="D28" s="3">
        <f>$D$21</f>
        <v>-538.99975526315757</v>
      </c>
      <c r="E28" s="3">
        <f>$E$21</f>
        <v>-538.99975526315757</v>
      </c>
      <c r="F28" s="3">
        <f>$F$21</f>
        <v>-538.99975526315757</v>
      </c>
      <c r="G28" s="3">
        <f>$G$21</f>
        <v>-3538.999755263158</v>
      </c>
      <c r="H28" s="3">
        <f>$H$21</f>
        <v>-538.99975526315757</v>
      </c>
      <c r="I28" s="3">
        <f>$I$21</f>
        <v>-538.99975526315757</v>
      </c>
      <c r="J28" s="3">
        <f>$J$21</f>
        <v>-538.99975526315757</v>
      </c>
      <c r="K28" s="3">
        <f>$K$21</f>
        <v>-538.99975526315757</v>
      </c>
      <c r="L28" s="3">
        <f>$L$21</f>
        <v>-538.99975526315757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-538.99975526315757</v>
      </c>
      <c r="D33" s="3">
        <f>$D$21</f>
        <v>-538.99975526315757</v>
      </c>
      <c r="E33" s="3">
        <f>$E$21</f>
        <v>-538.99975526315757</v>
      </c>
      <c r="F33" s="3">
        <f>$F$21</f>
        <v>-538.99975526315757</v>
      </c>
      <c r="G33" s="3">
        <f>$G$21</f>
        <v>-3538.999755263158</v>
      </c>
      <c r="H33" s="3">
        <f>$H$21</f>
        <v>-538.99975526315757</v>
      </c>
      <c r="I33" s="3">
        <f>$I$21</f>
        <v>-538.99975526315757</v>
      </c>
      <c r="J33" s="3">
        <f>$J$21</f>
        <v>-538.99975526315757</v>
      </c>
      <c r="K33" s="3">
        <f>$K$21</f>
        <v>-538.99975526315757</v>
      </c>
      <c r="L33" s="3">
        <f>$L$21</f>
        <v>-538.99975526315757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-538.99975526315757</v>
      </c>
      <c r="D38" s="3">
        <f>$D$21</f>
        <v>-538.99975526315757</v>
      </c>
      <c r="E38" s="3">
        <f>$E$21</f>
        <v>-538.99975526315757</v>
      </c>
      <c r="F38" s="3">
        <f>$F$21</f>
        <v>-538.99975526315757</v>
      </c>
      <c r="G38" s="3">
        <f>$G$21</f>
        <v>-3538.999755263158</v>
      </c>
      <c r="H38" s="3">
        <f>$H$21</f>
        <v>-538.99975526315757</v>
      </c>
      <c r="I38" s="3">
        <f>$I$21</f>
        <v>-538.99975526315757</v>
      </c>
      <c r="J38" s="3">
        <f>$J$21</f>
        <v>-538.99975526315757</v>
      </c>
      <c r="K38" s="3">
        <f>$K$21</f>
        <v>-538.99975526315757</v>
      </c>
      <c r="L38" s="3">
        <f>$L$21</f>
        <v>-538.99975526315757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-538.99975526315757</v>
      </c>
      <c r="D43" s="3">
        <f>$D$21</f>
        <v>-538.99975526315757</v>
      </c>
      <c r="E43" s="3">
        <f>$E$21</f>
        <v>-538.99975526315757</v>
      </c>
      <c r="F43" s="3">
        <f>$F$21</f>
        <v>-538.99975526315757</v>
      </c>
      <c r="G43" s="3">
        <f>$G$21</f>
        <v>-3538.999755263158</v>
      </c>
      <c r="H43" s="3">
        <f>$H$21</f>
        <v>-538.99975526315757</v>
      </c>
      <c r="I43" s="3">
        <f>$I$21</f>
        <v>-538.99975526315757</v>
      </c>
      <c r="J43" s="3">
        <f>$J$21</f>
        <v>-538.99975526315757</v>
      </c>
      <c r="K43" s="3">
        <f>$K$21</f>
        <v>-538.99975526315757</v>
      </c>
      <c r="L43" s="3">
        <f>$L$21</f>
        <v>-538.99975526315757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-538.99975526315757</v>
      </c>
      <c r="D48" s="3">
        <f>$D$21</f>
        <v>-538.99975526315757</v>
      </c>
      <c r="E48" s="3">
        <f>$E$21</f>
        <v>-538.99975526315757</v>
      </c>
      <c r="F48" s="3">
        <f>$F$21</f>
        <v>-538.99975526315757</v>
      </c>
      <c r="G48" s="3">
        <f>$G$21</f>
        <v>-3538.999755263158</v>
      </c>
      <c r="H48" s="3">
        <f>$H$21</f>
        <v>-538.99975526315757</v>
      </c>
      <c r="I48" s="3">
        <f>$I$21</f>
        <v>-538.99975526315757</v>
      </c>
      <c r="J48" s="3">
        <f>$J$21</f>
        <v>-538.99975526315757</v>
      </c>
      <c r="K48" s="3">
        <f>$K$21</f>
        <v>-538.99975526315757</v>
      </c>
      <c r="L48" s="3">
        <f>$L$21</f>
        <v>-538.99975526315757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-538.99975526315757</v>
      </c>
      <c r="D53" s="3">
        <f>$D$21</f>
        <v>-538.99975526315757</v>
      </c>
      <c r="E53" s="3">
        <f>$E$21</f>
        <v>-538.99975526315757</v>
      </c>
      <c r="F53" s="3">
        <f>$F$21</f>
        <v>-538.99975526315757</v>
      </c>
      <c r="G53" s="3">
        <f>$G$21</f>
        <v>-3538.999755263158</v>
      </c>
      <c r="H53" s="3">
        <f>$H$21</f>
        <v>-538.99975526315757</v>
      </c>
      <c r="I53" s="3">
        <f>$I$21</f>
        <v>-538.99975526315757</v>
      </c>
      <c r="J53" s="3">
        <f>$J$21</f>
        <v>-538.99975526315757</v>
      </c>
      <c r="K53" s="3">
        <f>$K$21</f>
        <v>-538.99975526315757</v>
      </c>
      <c r="L53" s="3">
        <f>$L$21</f>
        <v>-538.99975526315757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-538.99975526315757</v>
      </c>
      <c r="D58" s="3">
        <f>$D$21</f>
        <v>-538.99975526315757</v>
      </c>
      <c r="E58" s="3">
        <f>$E$21</f>
        <v>-538.99975526315757</v>
      </c>
      <c r="F58" s="3">
        <f>$F$21</f>
        <v>-538.99975526315757</v>
      </c>
      <c r="G58" s="3">
        <f>$G$21</f>
        <v>-3538.999755263158</v>
      </c>
      <c r="H58" s="3">
        <f>$H$21</f>
        <v>-538.99975526315757</v>
      </c>
      <c r="I58" s="3">
        <f>$I$21</f>
        <v>-538.99975526315757</v>
      </c>
      <c r="J58" s="3">
        <f>$J$21</f>
        <v>-538.99975526315757</v>
      </c>
      <c r="K58" s="3">
        <f>$K$21</f>
        <v>-538.99975526315757</v>
      </c>
      <c r="L58" s="3">
        <f>$L$21</f>
        <v>-538.99975526315757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-538.99975526315757</v>
      </c>
      <c r="D63" s="3">
        <f>$D$21</f>
        <v>-538.99975526315757</v>
      </c>
      <c r="E63" s="3">
        <f>$E$21</f>
        <v>-538.99975526315757</v>
      </c>
      <c r="F63" s="3">
        <f>$F$21</f>
        <v>-538.99975526315757</v>
      </c>
      <c r="G63" s="3">
        <f>$G$21</f>
        <v>-3538.999755263158</v>
      </c>
      <c r="H63" s="3">
        <f>$H$21</f>
        <v>-538.99975526315757</v>
      </c>
      <c r="I63" s="3">
        <f>$I$21</f>
        <v>-538.99975526315757</v>
      </c>
      <c r="J63" s="3">
        <f>$J$21</f>
        <v>-538.99975526315757</v>
      </c>
      <c r="K63" s="3">
        <f>$K$21</f>
        <v>-538.99975526315757</v>
      </c>
      <c r="L63" s="3">
        <f>$L$21</f>
        <v>-538.99975526315757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-538.99975526315757</v>
      </c>
      <c r="D68" s="3">
        <f>$D$21</f>
        <v>-538.99975526315757</v>
      </c>
      <c r="E68" s="3">
        <f>$E$21</f>
        <v>-538.99975526315757</v>
      </c>
      <c r="F68" s="3">
        <f>$F$21</f>
        <v>-538.99975526315757</v>
      </c>
      <c r="G68" s="3">
        <f>$G$21</f>
        <v>-3538.999755263158</v>
      </c>
      <c r="H68" s="3">
        <f>$H$21</f>
        <v>-538.99975526315757</v>
      </c>
      <c r="I68" s="3">
        <f>$I$21</f>
        <v>-538.99975526315757</v>
      </c>
      <c r="J68" s="3">
        <f>$J$21</f>
        <v>-538.99975526315757</v>
      </c>
      <c r="K68" s="3">
        <f>$K$21</f>
        <v>-538.99975526315757</v>
      </c>
      <c r="L68" s="3">
        <f>$L$21</f>
        <v>-538.99975526315757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-538.99975526315757</v>
      </c>
      <c r="D73" s="3">
        <f>$D$21</f>
        <v>-538.99975526315757</v>
      </c>
      <c r="E73" s="3">
        <f>$E$21</f>
        <v>-538.99975526315757</v>
      </c>
      <c r="F73" s="3">
        <f>$F$21</f>
        <v>-538.99975526315757</v>
      </c>
      <c r="G73" s="3">
        <f>$G$21</f>
        <v>-3538.999755263158</v>
      </c>
      <c r="H73" s="3">
        <f>$H$21</f>
        <v>-538.99975526315757</v>
      </c>
      <c r="I73" s="3">
        <f>$I$21</f>
        <v>-538.99975526315757</v>
      </c>
      <c r="J73" s="3">
        <f>$J$21</f>
        <v>-538.99975526315757</v>
      </c>
      <c r="K73" s="3">
        <f>$K$21</f>
        <v>-538.99975526315757</v>
      </c>
      <c r="L73" s="3">
        <f>$L$21</f>
        <v>-538.99975526315757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-538.99975526315757</v>
      </c>
      <c r="D78" s="3">
        <f>$D$21</f>
        <v>-538.99975526315757</v>
      </c>
      <c r="E78" s="3">
        <f>$E$21</f>
        <v>-538.99975526315757</v>
      </c>
      <c r="F78" s="3">
        <f>$F$21</f>
        <v>-538.99975526315757</v>
      </c>
      <c r="G78" s="3">
        <f>$G$21</f>
        <v>-3538.999755263158</v>
      </c>
      <c r="H78" s="3">
        <f>$H$21</f>
        <v>-538.99975526315757</v>
      </c>
      <c r="I78" s="3">
        <f>$I$21</f>
        <v>-538.99975526315757</v>
      </c>
      <c r="J78" s="3">
        <f>$J$21</f>
        <v>-538.99975526315757</v>
      </c>
      <c r="K78" s="3">
        <f>$K$21</f>
        <v>-538.99975526315757</v>
      </c>
      <c r="L78" s="3">
        <f>$L$21</f>
        <v>-538.99975526315757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-538.99975526315757</v>
      </c>
      <c r="D83" s="3">
        <f>$D$21</f>
        <v>-538.99975526315757</v>
      </c>
      <c r="E83" s="3">
        <f>$E$21</f>
        <v>-538.99975526315757</v>
      </c>
      <c r="F83" s="3">
        <f>$F$21</f>
        <v>-538.99975526315757</v>
      </c>
      <c r="G83" s="3">
        <f>$G$21</f>
        <v>-3538.999755263158</v>
      </c>
      <c r="H83" s="3">
        <f>$H$21</f>
        <v>-538.99975526315757</v>
      </c>
      <c r="I83" s="3">
        <f>$I$21</f>
        <v>-538.99975526315757</v>
      </c>
      <c r="J83" s="3">
        <f>$J$21</f>
        <v>-538.99975526315757</v>
      </c>
      <c r="K83" s="3">
        <f>$K$21</f>
        <v>-538.99975526315757</v>
      </c>
      <c r="L83" s="3">
        <f>$L$21</f>
        <v>-538.99975526315757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-538.99975526315757</v>
      </c>
      <c r="D88" s="3">
        <f>$D$21</f>
        <v>-538.99975526315757</v>
      </c>
      <c r="E88" s="3">
        <f>$E$21</f>
        <v>-538.99975526315757</v>
      </c>
      <c r="F88" s="3">
        <f>$F$21</f>
        <v>-538.99975526315757</v>
      </c>
      <c r="G88" s="3">
        <f>$G$21</f>
        <v>-3538.999755263158</v>
      </c>
      <c r="H88" s="3">
        <f>$H$21</f>
        <v>-538.99975526315757</v>
      </c>
      <c r="I88" s="3">
        <f>$I$21</f>
        <v>-538.99975526315757</v>
      </c>
      <c r="J88" s="3">
        <f>$J$21</f>
        <v>-538.99975526315757</v>
      </c>
      <c r="K88" s="3">
        <f>$K$21</f>
        <v>-538.99975526315757</v>
      </c>
      <c r="L88" s="3">
        <f>$L$21</f>
        <v>-538.99975526315757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-538.99975526315757</v>
      </c>
      <c r="D93" s="3">
        <f>$D$21</f>
        <v>-538.99975526315757</v>
      </c>
      <c r="E93" s="3">
        <f>$E$21</f>
        <v>-538.99975526315757</v>
      </c>
      <c r="F93" s="3">
        <f>$F$21</f>
        <v>-538.99975526315757</v>
      </c>
      <c r="G93" s="3">
        <f>$G$21</f>
        <v>-3538.999755263158</v>
      </c>
      <c r="H93" s="3">
        <f>$H$21</f>
        <v>-538.99975526315757</v>
      </c>
      <c r="I93" s="3">
        <f>$I$21</f>
        <v>-538.99975526315757</v>
      </c>
      <c r="J93" s="3">
        <f>$J$21</f>
        <v>-538.99975526315757</v>
      </c>
      <c r="K93" s="3">
        <f>$K$21</f>
        <v>-538.99975526315757</v>
      </c>
      <c r="L93" s="3">
        <f>$L$21</f>
        <v>-538.99975526315757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-538.99975526315757</v>
      </c>
      <c r="D98" s="3">
        <f>$D$21</f>
        <v>-538.99975526315757</v>
      </c>
      <c r="E98" s="3">
        <f>$E$21</f>
        <v>-538.99975526315757</v>
      </c>
      <c r="F98" s="3">
        <f>$F$21</f>
        <v>-538.99975526315757</v>
      </c>
      <c r="G98" s="3">
        <f>$G$21</f>
        <v>-3538.999755263158</v>
      </c>
      <c r="H98" s="3">
        <f>$H$21</f>
        <v>-538.99975526315757</v>
      </c>
      <c r="I98" s="3">
        <f>$I$21</f>
        <v>-538.99975526315757</v>
      </c>
      <c r="J98" s="3">
        <f>$J$21</f>
        <v>-538.99975526315757</v>
      </c>
      <c r="K98" s="3">
        <f>$K$21</f>
        <v>-538.99975526315757</v>
      </c>
      <c r="L98" s="3">
        <f>$L$21</f>
        <v>-538.99975526315757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-538.99975526315757</v>
      </c>
      <c r="D103" s="3">
        <f>$D$21</f>
        <v>-538.99975526315757</v>
      </c>
      <c r="E103" s="3">
        <f>$E$21</f>
        <v>-538.99975526315757</v>
      </c>
      <c r="F103" s="3">
        <f>$F$21</f>
        <v>-538.99975526315757</v>
      </c>
      <c r="G103" s="3">
        <f>$G$21</f>
        <v>-3538.999755263158</v>
      </c>
      <c r="H103" s="3">
        <f>$H$21</f>
        <v>-538.99975526315757</v>
      </c>
      <c r="I103" s="3">
        <f>$I$21</f>
        <v>-538.99975526315757</v>
      </c>
      <c r="J103" s="3">
        <f>$J$21</f>
        <v>-538.99975526315757</v>
      </c>
      <c r="K103" s="3">
        <f>$K$21</f>
        <v>-538.99975526315757</v>
      </c>
      <c r="L103" s="3">
        <f>$L$21</f>
        <v>-538.99975526315757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-538.99975526315757</v>
      </c>
      <c r="D108" s="3">
        <f>$D$21</f>
        <v>-538.99975526315757</v>
      </c>
      <c r="E108" s="3">
        <f>$E$21</f>
        <v>-538.99975526315757</v>
      </c>
      <c r="F108" s="3">
        <f>$F$21</f>
        <v>-538.99975526315757</v>
      </c>
      <c r="G108" s="3">
        <f>$G$21</f>
        <v>-3538.999755263158</v>
      </c>
      <c r="H108" s="3">
        <f>$H$21</f>
        <v>-538.99975526315757</v>
      </c>
      <c r="I108" s="3">
        <f>$I$21</f>
        <v>-538.99975526315757</v>
      </c>
      <c r="J108" s="3">
        <f>$J$21</f>
        <v>-538.99975526315757</v>
      </c>
      <c r="K108" s="3">
        <f>$K$21</f>
        <v>-538.99975526315757</v>
      </c>
      <c r="L108" s="3">
        <f>$L$21</f>
        <v>-538.99975526315757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-538.99975526315757</v>
      </c>
      <c r="D113" s="3">
        <f>$D$21</f>
        <v>-538.99975526315757</v>
      </c>
      <c r="E113" s="3">
        <f>$E$21</f>
        <v>-538.99975526315757</v>
      </c>
      <c r="F113" s="3">
        <f>$F$21</f>
        <v>-538.99975526315757</v>
      </c>
      <c r="G113" s="3">
        <f>$G$21</f>
        <v>-3538.999755263158</v>
      </c>
      <c r="H113" s="3">
        <f>$H$21</f>
        <v>-538.99975526315757</v>
      </c>
      <c r="I113" s="3">
        <f>$I$21</f>
        <v>-538.99975526315757</v>
      </c>
      <c r="J113" s="3">
        <f>$J$21</f>
        <v>-538.99975526315757</v>
      </c>
      <c r="K113" s="3">
        <f>$K$21</f>
        <v>-538.99975526315757</v>
      </c>
      <c r="L113" s="3">
        <f>$L$21</f>
        <v>-538.99975526315757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-538.99975526315757</v>
      </c>
      <c r="D118" s="3">
        <f>$D$21</f>
        <v>-538.99975526315757</v>
      </c>
      <c r="E118" s="3">
        <f>$E$21</f>
        <v>-538.99975526315757</v>
      </c>
      <c r="F118" s="3">
        <f>$F$21</f>
        <v>-538.99975526315757</v>
      </c>
      <c r="G118" s="3">
        <f>$G$21</f>
        <v>-3538.999755263158</v>
      </c>
      <c r="H118" s="3">
        <f>$H$21</f>
        <v>-538.99975526315757</v>
      </c>
      <c r="I118" s="3">
        <f>$I$21</f>
        <v>-538.99975526315757</v>
      </c>
      <c r="J118" s="3">
        <f>$J$21</f>
        <v>-538.99975526315757</v>
      </c>
      <c r="K118" s="3">
        <f>$K$21</f>
        <v>-538.99975526315757</v>
      </c>
      <c r="L118" s="3">
        <f>$L$21</f>
        <v>-538.99975526315757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9ED6-83C6-47C5-884A-6CECA802904F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  <col min="6" max="6" width="10.28515625" bestFit="1" customWidth="1"/>
  </cols>
  <sheetData>
    <row r="1" spans="1:15">
      <c r="A1" s="1" t="s">
        <v>24</v>
      </c>
      <c r="B1" s="28">
        <v>7.4999999999999997E-2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7371.54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3317.1930000000002</v>
      </c>
      <c r="D7" s="2">
        <f>$B$3*'IRR inputs &amp; outputs'!$B$13</f>
        <v>3317.1930000000002</v>
      </c>
      <c r="E7" s="2">
        <f>$B$3*'IRR inputs &amp; outputs'!$B$13</f>
        <v>3317.1930000000002</v>
      </c>
      <c r="F7" s="2">
        <f>$B$3*'IRR inputs &amp; outputs'!$B$13</f>
        <v>3317.1930000000002</v>
      </c>
      <c r="G7" s="2">
        <f>$B$3*'IRR inputs &amp; outputs'!$B$13</f>
        <v>3317.1930000000002</v>
      </c>
      <c r="H7" s="2">
        <f>$B$3*'IRR inputs &amp; outputs'!$B$13</f>
        <v>3317.1930000000002</v>
      </c>
      <c r="I7" s="2">
        <f>$B$3*'IRR inputs &amp; outputs'!$B$13</f>
        <v>3317.1930000000002</v>
      </c>
      <c r="J7" s="2">
        <f>$B$3*'IRR inputs &amp; outputs'!$B$13</f>
        <v>3317.1930000000002</v>
      </c>
      <c r="K7" s="2">
        <f>$B$3*'IRR inputs &amp; outputs'!$B$13</f>
        <v>3317.1930000000002</v>
      </c>
      <c r="L7" s="2">
        <f>$B$3*'IRR inputs &amp; outputs'!$B$13</f>
        <v>3317.1930000000002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3317.1930000000002</v>
      </c>
      <c r="D9" s="2">
        <f t="shared" si="0"/>
        <v>3317.1930000000002</v>
      </c>
      <c r="E9" s="2">
        <f t="shared" si="0"/>
        <v>3317.1930000000002</v>
      </c>
      <c r="F9" s="2">
        <f t="shared" si="0"/>
        <v>3317.1930000000002</v>
      </c>
      <c r="G9" s="2">
        <f t="shared" si="0"/>
        <v>3317.1930000000002</v>
      </c>
      <c r="H9" s="2">
        <f t="shared" si="0"/>
        <v>3317.1930000000002</v>
      </c>
      <c r="I9" s="2">
        <f t="shared" si="0"/>
        <v>3317.1930000000002</v>
      </c>
      <c r="J9" s="2">
        <f t="shared" si="0"/>
        <v>3317.1930000000002</v>
      </c>
      <c r="K9" s="2">
        <f t="shared" si="0"/>
        <v>3317.1930000000002</v>
      </c>
      <c r="L9" s="2">
        <f t="shared" si="0"/>
        <v>3317.1930000000002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1551.903157894737</v>
      </c>
      <c r="D16" s="2">
        <f>(1/'IRR inputs &amp; outputs'!$B$8)*$B$3*'IRR inputs &amp; outputs'!$B$9+'IRR inputs &amp; outputs'!$B$10</f>
        <v>1551.903157894737</v>
      </c>
      <c r="E16" s="2">
        <f>(1/'IRR inputs &amp; outputs'!$B$8)*$B$3*'IRR inputs &amp; outputs'!$B$9+'IRR inputs &amp; outputs'!$B$10</f>
        <v>1551.903157894737</v>
      </c>
      <c r="F16" s="2">
        <f>(1/'IRR inputs &amp; outputs'!$B$8)*$B$3*'IRR inputs &amp; outputs'!$B$9+'IRR inputs &amp; outputs'!$B$10</f>
        <v>1551.903157894737</v>
      </c>
      <c r="G16" s="2">
        <f>(1/'IRR inputs &amp; outputs'!$B$8)*$B$3*'IRR inputs &amp; outputs'!$B$9+'IRR inputs &amp; outputs'!$B$10</f>
        <v>1551.903157894737</v>
      </c>
      <c r="H16" s="2">
        <f>(1/'IRR inputs &amp; outputs'!$B$8)*$B$3*'IRR inputs &amp; outputs'!$B$9+'IRR inputs &amp; outputs'!$B$10</f>
        <v>1551.903157894737</v>
      </c>
      <c r="I16" s="2">
        <f>(1/'IRR inputs &amp; outputs'!$B$8)*$B$3*'IRR inputs &amp; outputs'!$B$9+'IRR inputs &amp; outputs'!$B$10</f>
        <v>1551.903157894737</v>
      </c>
      <c r="J16" s="2">
        <f>(1/'IRR inputs &amp; outputs'!$B$8)*$B$3*'IRR inputs &amp; outputs'!$B$9+'IRR inputs &amp; outputs'!$B$10</f>
        <v>1551.903157894737</v>
      </c>
      <c r="K16" s="2">
        <f>(1/'IRR inputs &amp; outputs'!$B$8)*$B$3*'IRR inputs &amp; outputs'!$B$9+'IRR inputs &amp; outputs'!$B$10</f>
        <v>1551.903157894737</v>
      </c>
      <c r="L16" s="2">
        <f>(1/'IRR inputs &amp; outputs'!$B$8)*$B$3*'IRR inputs &amp; outputs'!$B$9+'IRR inputs &amp; outputs'!$B$10</f>
        <v>1551.903157894737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248.78947500000001</v>
      </c>
      <c r="D18" s="2">
        <f>$B$3*'IRR inputs &amp; outputs'!$B$11*'IRR inputs &amp; outputs'!$B$13</f>
        <v>248.78947500000001</v>
      </c>
      <c r="E18" s="2">
        <f>$B$3*'IRR inputs &amp; outputs'!$B$11*'IRR inputs &amp; outputs'!$B$13</f>
        <v>248.78947500000001</v>
      </c>
      <c r="F18" s="2">
        <f>$B$3*'IRR inputs &amp; outputs'!$B$11*'IRR inputs &amp; outputs'!$B$13</f>
        <v>248.78947500000001</v>
      </c>
      <c r="G18" s="2">
        <f>$B$3*'IRR inputs &amp; outputs'!$B$11*'IRR inputs &amp; outputs'!$B$13</f>
        <v>248.78947500000001</v>
      </c>
      <c r="H18" s="2">
        <f>$B$3*'IRR inputs &amp; outputs'!$B$11*'IRR inputs &amp; outputs'!$B$13</f>
        <v>248.78947500000001</v>
      </c>
      <c r="I18" s="2">
        <f>$B$3*'IRR inputs &amp; outputs'!$B$11*'IRR inputs &amp; outputs'!$B$13</f>
        <v>248.78947500000001</v>
      </c>
      <c r="J18" s="2">
        <f>$B$3*'IRR inputs &amp; outputs'!$B$11*'IRR inputs &amp; outputs'!$B$13</f>
        <v>248.78947500000001</v>
      </c>
      <c r="K18" s="2">
        <f>$B$3*'IRR inputs &amp; outputs'!$B$11*'IRR inputs &amp; outputs'!$B$13</f>
        <v>248.78947500000001</v>
      </c>
      <c r="L18" s="2">
        <f>$B$3*'IRR inputs &amp; outputs'!$B$11*'IRR inputs &amp; outputs'!$B$13</f>
        <v>248.78947500000001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3350.692632894737</v>
      </c>
      <c r="D19" s="3">
        <f t="shared" si="1"/>
        <v>3350.692632894737</v>
      </c>
      <c r="E19" s="3">
        <f t="shared" si="1"/>
        <v>3350.692632894737</v>
      </c>
      <c r="F19" s="3">
        <f t="shared" si="1"/>
        <v>3350.692632894737</v>
      </c>
      <c r="G19" s="3">
        <f t="shared" si="1"/>
        <v>6350.6926328947366</v>
      </c>
      <c r="H19" s="3">
        <f t="shared" si="1"/>
        <v>3350.692632894737</v>
      </c>
      <c r="I19" s="3">
        <f t="shared" si="1"/>
        <v>3350.692632894737</v>
      </c>
      <c r="J19" s="3">
        <f t="shared" si="1"/>
        <v>3350.692632894737</v>
      </c>
      <c r="K19" s="3">
        <f t="shared" si="1"/>
        <v>3350.692632894737</v>
      </c>
      <c r="L19" s="3">
        <f t="shared" si="1"/>
        <v>3350.692632894737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-33.499632894736806</v>
      </c>
      <c r="D21" s="3">
        <f t="shared" si="2"/>
        <v>-33.499632894736806</v>
      </c>
      <c r="E21" s="3">
        <f t="shared" si="2"/>
        <v>-33.499632894736806</v>
      </c>
      <c r="F21" s="3">
        <f t="shared" si="2"/>
        <v>-33.499632894736806</v>
      </c>
      <c r="G21" s="3">
        <f t="shared" si="2"/>
        <v>-3033.4996328947364</v>
      </c>
      <c r="H21" s="3">
        <f t="shared" si="2"/>
        <v>-33.499632894736806</v>
      </c>
      <c r="I21" s="3">
        <f t="shared" si="2"/>
        <v>-33.499632894736806</v>
      </c>
      <c r="J21" s="3">
        <f t="shared" si="2"/>
        <v>-33.499632894736806</v>
      </c>
      <c r="K21" s="3">
        <f t="shared" si="2"/>
        <v>-33.499632894736806</v>
      </c>
      <c r="L21" s="3">
        <f t="shared" si="2"/>
        <v>-33.499632894736806</v>
      </c>
    </row>
    <row r="23" spans="1:12">
      <c r="A23" t="s">
        <v>25</v>
      </c>
      <c r="B23" s="4" t="e">
        <f>IFERROR(IRR(B21:L21),NA())</f>
        <v>#N/A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-33.499632894736806</v>
      </c>
      <c r="D28" s="3">
        <f>$D$21</f>
        <v>-33.499632894736806</v>
      </c>
      <c r="E28" s="3">
        <f>$E$21</f>
        <v>-33.499632894736806</v>
      </c>
      <c r="F28" s="3">
        <f>$F$21</f>
        <v>-33.499632894736806</v>
      </c>
      <c r="G28" s="3">
        <f>$G$21</f>
        <v>-3033.4996328947364</v>
      </c>
      <c r="H28" s="3">
        <f>$H$21</f>
        <v>-33.499632894736806</v>
      </c>
      <c r="I28" s="3">
        <f>$I$21</f>
        <v>-33.499632894736806</v>
      </c>
      <c r="J28" s="3">
        <f>$J$21</f>
        <v>-33.499632894736806</v>
      </c>
      <c r="K28" s="3">
        <f>$K$21</f>
        <v>-33.499632894736806</v>
      </c>
      <c r="L28" s="3">
        <f>$L$21</f>
        <v>-33.499632894736806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-33.499632894736806</v>
      </c>
      <c r="D33" s="3">
        <f>$D$21</f>
        <v>-33.499632894736806</v>
      </c>
      <c r="E33" s="3">
        <f>$E$21</f>
        <v>-33.499632894736806</v>
      </c>
      <c r="F33" s="3">
        <f>$F$21</f>
        <v>-33.499632894736806</v>
      </c>
      <c r="G33" s="3">
        <f>$G$21</f>
        <v>-3033.4996328947364</v>
      </c>
      <c r="H33" s="3">
        <f>$H$21</f>
        <v>-33.499632894736806</v>
      </c>
      <c r="I33" s="3">
        <f>$I$21</f>
        <v>-33.499632894736806</v>
      </c>
      <c r="J33" s="3">
        <f>$J$21</f>
        <v>-33.499632894736806</v>
      </c>
      <c r="K33" s="3">
        <f>$K$21</f>
        <v>-33.499632894736806</v>
      </c>
      <c r="L33" s="3">
        <f>$L$21</f>
        <v>-33.499632894736806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-33.499632894736806</v>
      </c>
      <c r="D38" s="3">
        <f>$D$21</f>
        <v>-33.499632894736806</v>
      </c>
      <c r="E38" s="3">
        <f>$E$21</f>
        <v>-33.499632894736806</v>
      </c>
      <c r="F38" s="3">
        <f>$F$21</f>
        <v>-33.499632894736806</v>
      </c>
      <c r="G38" s="3">
        <f>$G$21</f>
        <v>-3033.4996328947364</v>
      </c>
      <c r="H38" s="3">
        <f>$H$21</f>
        <v>-33.499632894736806</v>
      </c>
      <c r="I38" s="3">
        <f>$I$21</f>
        <v>-33.499632894736806</v>
      </c>
      <c r="J38" s="3">
        <f>$J$21</f>
        <v>-33.499632894736806</v>
      </c>
      <c r="K38" s="3">
        <f>$K$21</f>
        <v>-33.499632894736806</v>
      </c>
      <c r="L38" s="3">
        <f>$L$21</f>
        <v>-33.499632894736806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-33.499632894736806</v>
      </c>
      <c r="D43" s="3">
        <f>$D$21</f>
        <v>-33.499632894736806</v>
      </c>
      <c r="E43" s="3">
        <f>$E$21</f>
        <v>-33.499632894736806</v>
      </c>
      <c r="F43" s="3">
        <f>$F$21</f>
        <v>-33.499632894736806</v>
      </c>
      <c r="G43" s="3">
        <f>$G$21</f>
        <v>-3033.4996328947364</v>
      </c>
      <c r="H43" s="3">
        <f>$H$21</f>
        <v>-33.499632894736806</v>
      </c>
      <c r="I43" s="3">
        <f>$I$21</f>
        <v>-33.499632894736806</v>
      </c>
      <c r="J43" s="3">
        <f>$J$21</f>
        <v>-33.499632894736806</v>
      </c>
      <c r="K43" s="3">
        <f>$K$21</f>
        <v>-33.499632894736806</v>
      </c>
      <c r="L43" s="3">
        <f>$L$21</f>
        <v>-33.499632894736806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-33.499632894736806</v>
      </c>
      <c r="D48" s="3">
        <f>$D$21</f>
        <v>-33.499632894736806</v>
      </c>
      <c r="E48" s="3">
        <f>$E$21</f>
        <v>-33.499632894736806</v>
      </c>
      <c r="F48" s="3">
        <f>$F$21</f>
        <v>-33.499632894736806</v>
      </c>
      <c r="G48" s="3">
        <f>$G$21</f>
        <v>-3033.4996328947364</v>
      </c>
      <c r="H48" s="3">
        <f>$H$21</f>
        <v>-33.499632894736806</v>
      </c>
      <c r="I48" s="3">
        <f>$I$21</f>
        <v>-33.499632894736806</v>
      </c>
      <c r="J48" s="3">
        <f>$J$21</f>
        <v>-33.499632894736806</v>
      </c>
      <c r="K48" s="3">
        <f>$K$21</f>
        <v>-33.499632894736806</v>
      </c>
      <c r="L48" s="3">
        <f>$L$21</f>
        <v>-33.499632894736806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-33.499632894736806</v>
      </c>
      <c r="D53" s="3">
        <f>$D$21</f>
        <v>-33.499632894736806</v>
      </c>
      <c r="E53" s="3">
        <f>$E$21</f>
        <v>-33.499632894736806</v>
      </c>
      <c r="F53" s="3">
        <f>$F$21</f>
        <v>-33.499632894736806</v>
      </c>
      <c r="G53" s="3">
        <f>$G$21</f>
        <v>-3033.4996328947364</v>
      </c>
      <c r="H53" s="3">
        <f>$H$21</f>
        <v>-33.499632894736806</v>
      </c>
      <c r="I53" s="3">
        <f>$I$21</f>
        <v>-33.499632894736806</v>
      </c>
      <c r="J53" s="3">
        <f>$J$21</f>
        <v>-33.499632894736806</v>
      </c>
      <c r="K53" s="3">
        <f>$K$21</f>
        <v>-33.499632894736806</v>
      </c>
      <c r="L53" s="3">
        <f>$L$21</f>
        <v>-33.499632894736806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-33.499632894736806</v>
      </c>
      <c r="D58" s="3">
        <f>$D$21</f>
        <v>-33.499632894736806</v>
      </c>
      <c r="E58" s="3">
        <f>$E$21</f>
        <v>-33.499632894736806</v>
      </c>
      <c r="F58" s="3">
        <f>$F$21</f>
        <v>-33.499632894736806</v>
      </c>
      <c r="G58" s="3">
        <f>$G$21</f>
        <v>-3033.4996328947364</v>
      </c>
      <c r="H58" s="3">
        <f>$H$21</f>
        <v>-33.499632894736806</v>
      </c>
      <c r="I58" s="3">
        <f>$I$21</f>
        <v>-33.499632894736806</v>
      </c>
      <c r="J58" s="3">
        <f>$J$21</f>
        <v>-33.499632894736806</v>
      </c>
      <c r="K58" s="3">
        <f>$K$21</f>
        <v>-33.499632894736806</v>
      </c>
      <c r="L58" s="3">
        <f>$L$21</f>
        <v>-33.499632894736806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-33.499632894736806</v>
      </c>
      <c r="D63" s="3">
        <f>$D$21</f>
        <v>-33.499632894736806</v>
      </c>
      <c r="E63" s="3">
        <f>$E$21</f>
        <v>-33.499632894736806</v>
      </c>
      <c r="F63" s="3">
        <f>$F$21</f>
        <v>-33.499632894736806</v>
      </c>
      <c r="G63" s="3">
        <f>$G$21</f>
        <v>-3033.4996328947364</v>
      </c>
      <c r="H63" s="3">
        <f>$H$21</f>
        <v>-33.499632894736806</v>
      </c>
      <c r="I63" s="3">
        <f>$I$21</f>
        <v>-33.499632894736806</v>
      </c>
      <c r="J63" s="3">
        <f>$J$21</f>
        <v>-33.499632894736806</v>
      </c>
      <c r="K63" s="3">
        <f>$K$21</f>
        <v>-33.499632894736806</v>
      </c>
      <c r="L63" s="3">
        <f>$L$21</f>
        <v>-33.499632894736806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-33.499632894736806</v>
      </c>
      <c r="D68" s="3">
        <f>$D$21</f>
        <v>-33.499632894736806</v>
      </c>
      <c r="E68" s="3">
        <f>$E$21</f>
        <v>-33.499632894736806</v>
      </c>
      <c r="F68" s="3">
        <f>$F$21</f>
        <v>-33.499632894736806</v>
      </c>
      <c r="G68" s="3">
        <f>$G$21</f>
        <v>-3033.4996328947364</v>
      </c>
      <c r="H68" s="3">
        <f>$H$21</f>
        <v>-33.499632894736806</v>
      </c>
      <c r="I68" s="3">
        <f>$I$21</f>
        <v>-33.499632894736806</v>
      </c>
      <c r="J68" s="3">
        <f>$J$21</f>
        <v>-33.499632894736806</v>
      </c>
      <c r="K68" s="3">
        <f>$K$21</f>
        <v>-33.499632894736806</v>
      </c>
      <c r="L68" s="3">
        <f>$L$21</f>
        <v>-33.499632894736806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-33.499632894736806</v>
      </c>
      <c r="D73" s="3">
        <f>$D$21</f>
        <v>-33.499632894736806</v>
      </c>
      <c r="E73" s="3">
        <f>$E$21</f>
        <v>-33.499632894736806</v>
      </c>
      <c r="F73" s="3">
        <f>$F$21</f>
        <v>-33.499632894736806</v>
      </c>
      <c r="G73" s="3">
        <f>$G$21</f>
        <v>-3033.4996328947364</v>
      </c>
      <c r="H73" s="3">
        <f>$H$21</f>
        <v>-33.499632894736806</v>
      </c>
      <c r="I73" s="3">
        <f>$I$21</f>
        <v>-33.499632894736806</v>
      </c>
      <c r="J73" s="3">
        <f>$J$21</f>
        <v>-33.499632894736806</v>
      </c>
      <c r="K73" s="3">
        <f>$K$21</f>
        <v>-33.499632894736806</v>
      </c>
      <c r="L73" s="3">
        <f>$L$21</f>
        <v>-33.499632894736806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-33.499632894736806</v>
      </c>
      <c r="D78" s="3">
        <f>$D$21</f>
        <v>-33.499632894736806</v>
      </c>
      <c r="E78" s="3">
        <f>$E$21</f>
        <v>-33.499632894736806</v>
      </c>
      <c r="F78" s="3">
        <f>$F$21</f>
        <v>-33.499632894736806</v>
      </c>
      <c r="G78" s="3">
        <f>$G$21</f>
        <v>-3033.4996328947364</v>
      </c>
      <c r="H78" s="3">
        <f>$H$21</f>
        <v>-33.499632894736806</v>
      </c>
      <c r="I78" s="3">
        <f>$I$21</f>
        <v>-33.499632894736806</v>
      </c>
      <c r="J78" s="3">
        <f>$J$21</f>
        <v>-33.499632894736806</v>
      </c>
      <c r="K78" s="3">
        <f>$K$21</f>
        <v>-33.499632894736806</v>
      </c>
      <c r="L78" s="3">
        <f>$L$21</f>
        <v>-33.499632894736806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-33.499632894736806</v>
      </c>
      <c r="D83" s="3">
        <f>$D$21</f>
        <v>-33.499632894736806</v>
      </c>
      <c r="E83" s="3">
        <f>$E$21</f>
        <v>-33.499632894736806</v>
      </c>
      <c r="F83" s="3">
        <f>$F$21</f>
        <v>-33.499632894736806</v>
      </c>
      <c r="G83" s="3">
        <f>$G$21</f>
        <v>-3033.4996328947364</v>
      </c>
      <c r="H83" s="3">
        <f>$H$21</f>
        <v>-33.499632894736806</v>
      </c>
      <c r="I83" s="3">
        <f>$I$21</f>
        <v>-33.499632894736806</v>
      </c>
      <c r="J83" s="3">
        <f>$J$21</f>
        <v>-33.499632894736806</v>
      </c>
      <c r="K83" s="3">
        <f>$K$21</f>
        <v>-33.499632894736806</v>
      </c>
      <c r="L83" s="3">
        <f>$L$21</f>
        <v>-33.499632894736806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-33.499632894736806</v>
      </c>
      <c r="D88" s="3">
        <f>$D$21</f>
        <v>-33.499632894736806</v>
      </c>
      <c r="E88" s="3">
        <f>$E$21</f>
        <v>-33.499632894736806</v>
      </c>
      <c r="F88" s="3">
        <f>$F$21</f>
        <v>-33.499632894736806</v>
      </c>
      <c r="G88" s="3">
        <f>$G$21</f>
        <v>-3033.4996328947364</v>
      </c>
      <c r="H88" s="3">
        <f>$H$21</f>
        <v>-33.499632894736806</v>
      </c>
      <c r="I88" s="3">
        <f>$I$21</f>
        <v>-33.499632894736806</v>
      </c>
      <c r="J88" s="3">
        <f>$J$21</f>
        <v>-33.499632894736806</v>
      </c>
      <c r="K88" s="3">
        <f>$K$21</f>
        <v>-33.499632894736806</v>
      </c>
      <c r="L88" s="3">
        <f>$L$21</f>
        <v>-33.499632894736806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-33.499632894736806</v>
      </c>
      <c r="D93" s="3">
        <f>$D$21</f>
        <v>-33.499632894736806</v>
      </c>
      <c r="E93" s="3">
        <f>$E$21</f>
        <v>-33.499632894736806</v>
      </c>
      <c r="F93" s="3">
        <f>$F$21</f>
        <v>-33.499632894736806</v>
      </c>
      <c r="G93" s="3">
        <f>$G$21</f>
        <v>-3033.4996328947364</v>
      </c>
      <c r="H93" s="3">
        <f>$H$21</f>
        <v>-33.499632894736806</v>
      </c>
      <c r="I93" s="3">
        <f>$I$21</f>
        <v>-33.499632894736806</v>
      </c>
      <c r="J93" s="3">
        <f>$J$21</f>
        <v>-33.499632894736806</v>
      </c>
      <c r="K93" s="3">
        <f>$K$21</f>
        <v>-33.499632894736806</v>
      </c>
      <c r="L93" s="3">
        <f>$L$21</f>
        <v>-33.499632894736806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-33.499632894736806</v>
      </c>
      <c r="D98" s="3">
        <f>$D$21</f>
        <v>-33.499632894736806</v>
      </c>
      <c r="E98" s="3">
        <f>$E$21</f>
        <v>-33.499632894736806</v>
      </c>
      <c r="F98" s="3">
        <f>$F$21</f>
        <v>-33.499632894736806</v>
      </c>
      <c r="G98" s="3">
        <f>$G$21</f>
        <v>-3033.4996328947364</v>
      </c>
      <c r="H98" s="3">
        <f>$H$21</f>
        <v>-33.499632894736806</v>
      </c>
      <c r="I98" s="3">
        <f>$I$21</f>
        <v>-33.499632894736806</v>
      </c>
      <c r="J98" s="3">
        <f>$J$21</f>
        <v>-33.499632894736806</v>
      </c>
      <c r="K98" s="3">
        <f>$K$21</f>
        <v>-33.499632894736806</v>
      </c>
      <c r="L98" s="3">
        <f>$L$21</f>
        <v>-33.499632894736806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-33.499632894736806</v>
      </c>
      <c r="D103" s="3">
        <f>$D$21</f>
        <v>-33.499632894736806</v>
      </c>
      <c r="E103" s="3">
        <f>$E$21</f>
        <v>-33.499632894736806</v>
      </c>
      <c r="F103" s="3">
        <f>$F$21</f>
        <v>-33.499632894736806</v>
      </c>
      <c r="G103" s="3">
        <f>$G$21</f>
        <v>-3033.4996328947364</v>
      </c>
      <c r="H103" s="3">
        <f>$H$21</f>
        <v>-33.499632894736806</v>
      </c>
      <c r="I103" s="3">
        <f>$I$21</f>
        <v>-33.499632894736806</v>
      </c>
      <c r="J103" s="3">
        <f>$J$21</f>
        <v>-33.499632894736806</v>
      </c>
      <c r="K103" s="3">
        <f>$K$21</f>
        <v>-33.499632894736806</v>
      </c>
      <c r="L103" s="3">
        <f>$L$21</f>
        <v>-33.499632894736806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-33.499632894736806</v>
      </c>
      <c r="D108" s="3">
        <f>$D$21</f>
        <v>-33.499632894736806</v>
      </c>
      <c r="E108" s="3">
        <f>$E$21</f>
        <v>-33.499632894736806</v>
      </c>
      <c r="F108" s="3">
        <f>$F$21</f>
        <v>-33.499632894736806</v>
      </c>
      <c r="G108" s="3">
        <f>$G$21</f>
        <v>-3033.4996328947364</v>
      </c>
      <c r="H108" s="3">
        <f>$H$21</f>
        <v>-33.499632894736806</v>
      </c>
      <c r="I108" s="3">
        <f>$I$21</f>
        <v>-33.499632894736806</v>
      </c>
      <c r="J108" s="3">
        <f>$J$21</f>
        <v>-33.499632894736806</v>
      </c>
      <c r="K108" s="3">
        <f>$K$21</f>
        <v>-33.499632894736806</v>
      </c>
      <c r="L108" s="3">
        <f>$L$21</f>
        <v>-33.499632894736806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-33.499632894736806</v>
      </c>
      <c r="D113" s="3">
        <f>$D$21</f>
        <v>-33.499632894736806</v>
      </c>
      <c r="E113" s="3">
        <f>$E$21</f>
        <v>-33.499632894736806</v>
      </c>
      <c r="F113" s="3">
        <f>$F$21</f>
        <v>-33.499632894736806</v>
      </c>
      <c r="G113" s="3">
        <f>$G$21</f>
        <v>-3033.4996328947364</v>
      </c>
      <c r="H113" s="3">
        <f>$H$21</f>
        <v>-33.499632894736806</v>
      </c>
      <c r="I113" s="3">
        <f>$I$21</f>
        <v>-33.499632894736806</v>
      </c>
      <c r="J113" s="3">
        <f>$J$21</f>
        <v>-33.499632894736806</v>
      </c>
      <c r="K113" s="3">
        <f>$K$21</f>
        <v>-33.499632894736806</v>
      </c>
      <c r="L113" s="3">
        <f>$L$21</f>
        <v>-33.499632894736806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-33.499632894736806</v>
      </c>
      <c r="D118" s="3">
        <f>$D$21</f>
        <v>-33.499632894736806</v>
      </c>
      <c r="E118" s="3">
        <f>$E$21</f>
        <v>-33.499632894736806</v>
      </c>
      <c r="F118" s="3">
        <f>$F$21</f>
        <v>-33.499632894736806</v>
      </c>
      <c r="G118" s="3">
        <f>$G$21</f>
        <v>-3033.4996328947364</v>
      </c>
      <c r="H118" s="3">
        <f>$H$21</f>
        <v>-33.499632894736806</v>
      </c>
      <c r="I118" s="3">
        <f>$I$21</f>
        <v>-33.499632894736806</v>
      </c>
      <c r="J118" s="3">
        <f>$J$21</f>
        <v>-33.499632894736806</v>
      </c>
      <c r="K118" s="3">
        <f>$K$21</f>
        <v>-33.499632894736806</v>
      </c>
      <c r="L118" s="3">
        <f>$L$21</f>
        <v>-33.499632894736806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1FEE-FAD7-4AFB-8A15-740008B20A65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  <col min="6" max="6" width="10.28515625" bestFit="1" customWidth="1"/>
  </cols>
  <sheetData>
    <row r="1" spans="1:15">
      <c r="A1" s="1" t="s">
        <v>24</v>
      </c>
      <c r="B1" s="5">
        <v>0.1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9828.7199999999993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4422.924</v>
      </c>
      <c r="D7" s="2">
        <f>$B$3*'IRR inputs &amp; outputs'!$B$13</f>
        <v>4422.924</v>
      </c>
      <c r="E7" s="2">
        <f>$B$3*'IRR inputs &amp; outputs'!$B$13</f>
        <v>4422.924</v>
      </c>
      <c r="F7" s="2">
        <f>$B$3*'IRR inputs &amp; outputs'!$B$13</f>
        <v>4422.924</v>
      </c>
      <c r="G7" s="2">
        <f>$B$3*'IRR inputs &amp; outputs'!$B$13</f>
        <v>4422.924</v>
      </c>
      <c r="H7" s="2">
        <f>$B$3*'IRR inputs &amp; outputs'!$B$13</f>
        <v>4422.924</v>
      </c>
      <c r="I7" s="2">
        <f>$B$3*'IRR inputs &amp; outputs'!$B$13</f>
        <v>4422.924</v>
      </c>
      <c r="J7" s="2">
        <f>$B$3*'IRR inputs &amp; outputs'!$B$13</f>
        <v>4422.924</v>
      </c>
      <c r="K7" s="2">
        <f>$B$3*'IRR inputs &amp; outputs'!$B$13</f>
        <v>4422.924</v>
      </c>
      <c r="L7" s="2">
        <f>$B$3*'IRR inputs &amp; outputs'!$B$13</f>
        <v>4422.924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4422.924</v>
      </c>
      <c r="D9" s="2">
        <f t="shared" si="0"/>
        <v>4422.924</v>
      </c>
      <c r="E9" s="2">
        <f t="shared" si="0"/>
        <v>4422.924</v>
      </c>
      <c r="F9" s="2">
        <f t="shared" si="0"/>
        <v>4422.924</v>
      </c>
      <c r="G9" s="2">
        <f t="shared" si="0"/>
        <v>4422.924</v>
      </c>
      <c r="H9" s="2">
        <f t="shared" si="0"/>
        <v>4422.924</v>
      </c>
      <c r="I9" s="2">
        <f t="shared" si="0"/>
        <v>4422.924</v>
      </c>
      <c r="J9" s="2">
        <f t="shared" si="0"/>
        <v>4422.924</v>
      </c>
      <c r="K9" s="2">
        <f t="shared" si="0"/>
        <v>4422.924</v>
      </c>
      <c r="L9" s="2">
        <f t="shared" si="0"/>
        <v>4422.924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2069.2042105263154</v>
      </c>
      <c r="D16" s="2">
        <f>(1/'IRR inputs &amp; outputs'!$B$8)*$B$3*'IRR inputs &amp; outputs'!$B$9+'IRR inputs &amp; outputs'!$B$10</f>
        <v>2069.2042105263154</v>
      </c>
      <c r="E16" s="2">
        <f>(1/'IRR inputs &amp; outputs'!$B$8)*$B$3*'IRR inputs &amp; outputs'!$B$9+'IRR inputs &amp; outputs'!$B$10</f>
        <v>2069.2042105263154</v>
      </c>
      <c r="F16" s="2">
        <f>(1/'IRR inputs &amp; outputs'!$B$8)*$B$3*'IRR inputs &amp; outputs'!$B$9+'IRR inputs &amp; outputs'!$B$10</f>
        <v>2069.2042105263154</v>
      </c>
      <c r="G16" s="2">
        <f>(1/'IRR inputs &amp; outputs'!$B$8)*$B$3*'IRR inputs &amp; outputs'!$B$9+'IRR inputs &amp; outputs'!$B$10</f>
        <v>2069.2042105263154</v>
      </c>
      <c r="H16" s="2">
        <f>(1/'IRR inputs &amp; outputs'!$B$8)*$B$3*'IRR inputs &amp; outputs'!$B$9+'IRR inputs &amp; outputs'!$B$10</f>
        <v>2069.2042105263154</v>
      </c>
      <c r="I16" s="2">
        <f>(1/'IRR inputs &amp; outputs'!$B$8)*$B$3*'IRR inputs &amp; outputs'!$B$9+'IRR inputs &amp; outputs'!$B$10</f>
        <v>2069.2042105263154</v>
      </c>
      <c r="J16" s="2">
        <f>(1/'IRR inputs &amp; outputs'!$B$8)*$B$3*'IRR inputs &amp; outputs'!$B$9+'IRR inputs &amp; outputs'!$B$10</f>
        <v>2069.2042105263154</v>
      </c>
      <c r="K16" s="2">
        <f>(1/'IRR inputs &amp; outputs'!$B$8)*$B$3*'IRR inputs &amp; outputs'!$B$9+'IRR inputs &amp; outputs'!$B$10</f>
        <v>2069.2042105263154</v>
      </c>
      <c r="L16" s="2">
        <f>(1/'IRR inputs &amp; outputs'!$B$8)*$B$3*'IRR inputs &amp; outputs'!$B$9+'IRR inputs &amp; outputs'!$B$10</f>
        <v>2069.2042105263154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331.71929999999998</v>
      </c>
      <c r="D18" s="2">
        <f>$B$3*'IRR inputs &amp; outputs'!$B$11*'IRR inputs &amp; outputs'!$B$13</f>
        <v>331.71929999999998</v>
      </c>
      <c r="E18" s="2">
        <f>$B$3*'IRR inputs &amp; outputs'!$B$11*'IRR inputs &amp; outputs'!$B$13</f>
        <v>331.71929999999998</v>
      </c>
      <c r="F18" s="2">
        <f>$B$3*'IRR inputs &amp; outputs'!$B$11*'IRR inputs &amp; outputs'!$B$13</f>
        <v>331.71929999999998</v>
      </c>
      <c r="G18" s="2">
        <f>$B$3*'IRR inputs &amp; outputs'!$B$11*'IRR inputs &amp; outputs'!$B$13</f>
        <v>331.71929999999998</v>
      </c>
      <c r="H18" s="2">
        <f>$B$3*'IRR inputs &amp; outputs'!$B$11*'IRR inputs &amp; outputs'!$B$13</f>
        <v>331.71929999999998</v>
      </c>
      <c r="I18" s="2">
        <f>$B$3*'IRR inputs &amp; outputs'!$B$11*'IRR inputs &amp; outputs'!$B$13</f>
        <v>331.71929999999998</v>
      </c>
      <c r="J18" s="2">
        <f>$B$3*'IRR inputs &amp; outputs'!$B$11*'IRR inputs &amp; outputs'!$B$13</f>
        <v>331.71929999999998</v>
      </c>
      <c r="K18" s="2">
        <f>$B$3*'IRR inputs &amp; outputs'!$B$11*'IRR inputs &amp; outputs'!$B$13</f>
        <v>331.71929999999998</v>
      </c>
      <c r="L18" s="2">
        <f>$B$3*'IRR inputs &amp; outputs'!$B$11*'IRR inputs &amp; outputs'!$B$13</f>
        <v>331.71929999999998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3950.9235105263151</v>
      </c>
      <c r="D19" s="3">
        <f t="shared" si="1"/>
        <v>3950.9235105263151</v>
      </c>
      <c r="E19" s="3">
        <f t="shared" si="1"/>
        <v>3950.9235105263151</v>
      </c>
      <c r="F19" s="3">
        <f t="shared" si="1"/>
        <v>3950.9235105263151</v>
      </c>
      <c r="G19" s="3">
        <f t="shared" si="1"/>
        <v>6950.9235105263151</v>
      </c>
      <c r="H19" s="3">
        <f t="shared" si="1"/>
        <v>3950.9235105263151</v>
      </c>
      <c r="I19" s="3">
        <f t="shared" si="1"/>
        <v>3950.9235105263151</v>
      </c>
      <c r="J19" s="3">
        <f t="shared" si="1"/>
        <v>3950.9235105263151</v>
      </c>
      <c r="K19" s="3">
        <f t="shared" si="1"/>
        <v>3950.9235105263151</v>
      </c>
      <c r="L19" s="3">
        <f t="shared" si="1"/>
        <v>3950.9235105263151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472.00048947368487</v>
      </c>
      <c r="D21" s="3">
        <f t="shared" si="2"/>
        <v>472.00048947368487</v>
      </c>
      <c r="E21" s="3">
        <f t="shared" si="2"/>
        <v>472.00048947368487</v>
      </c>
      <c r="F21" s="3">
        <f t="shared" si="2"/>
        <v>472.00048947368487</v>
      </c>
      <c r="G21" s="3">
        <f t="shared" si="2"/>
        <v>-2527.9995105263151</v>
      </c>
      <c r="H21" s="3">
        <f t="shared" si="2"/>
        <v>472.00048947368487</v>
      </c>
      <c r="I21" s="3">
        <f t="shared" si="2"/>
        <v>472.00048947368487</v>
      </c>
      <c r="J21" s="3">
        <f t="shared" si="2"/>
        <v>472.00048947368487</v>
      </c>
      <c r="K21" s="3">
        <f t="shared" si="2"/>
        <v>472.00048947368487</v>
      </c>
      <c r="L21" s="3">
        <f t="shared" si="2"/>
        <v>472.00048947368487</v>
      </c>
    </row>
    <row r="23" spans="1:12">
      <c r="A23" t="s">
        <v>25</v>
      </c>
      <c r="B23" s="4">
        <f>IFERROR(IRR(B21:L21),NA())</f>
        <v>0.58195841752130995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472.00048947368487</v>
      </c>
      <c r="D28" s="3">
        <f>$D$21</f>
        <v>472.00048947368487</v>
      </c>
      <c r="E28" s="3">
        <f>$E$21</f>
        <v>472.00048947368487</v>
      </c>
      <c r="F28" s="3">
        <f>$F$21</f>
        <v>472.00048947368487</v>
      </c>
      <c r="G28" s="3">
        <f>$G$21</f>
        <v>-2527.9995105263151</v>
      </c>
      <c r="H28" s="3">
        <f>$H$21</f>
        <v>472.00048947368487</v>
      </c>
      <c r="I28" s="3">
        <f>$I$21</f>
        <v>472.00048947368487</v>
      </c>
      <c r="J28" s="3">
        <f>$J$21</f>
        <v>472.00048947368487</v>
      </c>
      <c r="K28" s="3">
        <f>$K$21</f>
        <v>472.00048947368487</v>
      </c>
      <c r="L28" s="3">
        <f>$L$21</f>
        <v>472.00048947368487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472.00048947368487</v>
      </c>
      <c r="D33" s="3">
        <f>$D$21</f>
        <v>472.00048947368487</v>
      </c>
      <c r="E33" s="3">
        <f>$E$21</f>
        <v>472.00048947368487</v>
      </c>
      <c r="F33" s="3">
        <f>$F$21</f>
        <v>472.00048947368487</v>
      </c>
      <c r="G33" s="3">
        <f>$G$21</f>
        <v>-2527.9995105263151</v>
      </c>
      <c r="H33" s="3">
        <f>$H$21</f>
        <v>472.00048947368487</v>
      </c>
      <c r="I33" s="3">
        <f>$I$21</f>
        <v>472.00048947368487</v>
      </c>
      <c r="J33" s="3">
        <f>$J$21</f>
        <v>472.00048947368487</v>
      </c>
      <c r="K33" s="3">
        <f>$K$21</f>
        <v>472.00048947368487</v>
      </c>
      <c r="L33" s="3">
        <f>$L$21</f>
        <v>472.00048947368487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472.00048947368487</v>
      </c>
      <c r="D38" s="3">
        <f>$D$21</f>
        <v>472.00048947368487</v>
      </c>
      <c r="E38" s="3">
        <f>$E$21</f>
        <v>472.00048947368487</v>
      </c>
      <c r="F38" s="3">
        <f>$F$21</f>
        <v>472.00048947368487</v>
      </c>
      <c r="G38" s="3">
        <f>$G$21</f>
        <v>-2527.9995105263151</v>
      </c>
      <c r="H38" s="3">
        <f>$H$21</f>
        <v>472.00048947368487</v>
      </c>
      <c r="I38" s="3">
        <f>$I$21</f>
        <v>472.00048947368487</v>
      </c>
      <c r="J38" s="3">
        <f>$J$21</f>
        <v>472.00048947368487</v>
      </c>
      <c r="K38" s="3">
        <f>$K$21</f>
        <v>472.00048947368487</v>
      </c>
      <c r="L38" s="3">
        <f>$L$21</f>
        <v>472.00048947368487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472.00048947368487</v>
      </c>
      <c r="D43" s="3">
        <f>$D$21</f>
        <v>472.00048947368487</v>
      </c>
      <c r="E43" s="3">
        <f>$E$21</f>
        <v>472.00048947368487</v>
      </c>
      <c r="F43" s="3">
        <f>$F$21</f>
        <v>472.00048947368487</v>
      </c>
      <c r="G43" s="3">
        <f>$G$21</f>
        <v>-2527.9995105263151</v>
      </c>
      <c r="H43" s="3">
        <f>$H$21</f>
        <v>472.00048947368487</v>
      </c>
      <c r="I43" s="3">
        <f>$I$21</f>
        <v>472.00048947368487</v>
      </c>
      <c r="J43" s="3">
        <f>$J$21</f>
        <v>472.00048947368487</v>
      </c>
      <c r="K43" s="3">
        <f>$K$21</f>
        <v>472.00048947368487</v>
      </c>
      <c r="L43" s="3">
        <f>$L$21</f>
        <v>472.00048947368487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472.00048947368487</v>
      </c>
      <c r="D48" s="3">
        <f>$D$21</f>
        <v>472.00048947368487</v>
      </c>
      <c r="E48" s="3">
        <f>$E$21</f>
        <v>472.00048947368487</v>
      </c>
      <c r="F48" s="3">
        <f>$F$21</f>
        <v>472.00048947368487</v>
      </c>
      <c r="G48" s="3">
        <f>$G$21</f>
        <v>-2527.9995105263151</v>
      </c>
      <c r="H48" s="3">
        <f>$H$21</f>
        <v>472.00048947368487</v>
      </c>
      <c r="I48" s="3">
        <f>$I$21</f>
        <v>472.00048947368487</v>
      </c>
      <c r="J48" s="3">
        <f>$J$21</f>
        <v>472.00048947368487</v>
      </c>
      <c r="K48" s="3">
        <f>$K$21</f>
        <v>472.00048947368487</v>
      </c>
      <c r="L48" s="3">
        <f>$L$21</f>
        <v>472.00048947368487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472.00048947368487</v>
      </c>
      <c r="D53" s="3">
        <f>$D$21</f>
        <v>472.00048947368487</v>
      </c>
      <c r="E53" s="3">
        <f>$E$21</f>
        <v>472.00048947368487</v>
      </c>
      <c r="F53" s="3">
        <f>$F$21</f>
        <v>472.00048947368487</v>
      </c>
      <c r="G53" s="3">
        <f>$G$21</f>
        <v>-2527.9995105263151</v>
      </c>
      <c r="H53" s="3">
        <f>$H$21</f>
        <v>472.00048947368487</v>
      </c>
      <c r="I53" s="3">
        <f>$I$21</f>
        <v>472.00048947368487</v>
      </c>
      <c r="J53" s="3">
        <f>$J$21</f>
        <v>472.00048947368487</v>
      </c>
      <c r="K53" s="3">
        <f>$K$21</f>
        <v>472.00048947368487</v>
      </c>
      <c r="L53" s="3">
        <f>$L$21</f>
        <v>472.00048947368487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472.00048947368487</v>
      </c>
      <c r="D58" s="3">
        <f>$D$21</f>
        <v>472.00048947368487</v>
      </c>
      <c r="E58" s="3">
        <f>$E$21</f>
        <v>472.00048947368487</v>
      </c>
      <c r="F58" s="3">
        <f>$F$21</f>
        <v>472.00048947368487</v>
      </c>
      <c r="G58" s="3">
        <f>$G$21</f>
        <v>-2527.9995105263151</v>
      </c>
      <c r="H58" s="3">
        <f>$H$21</f>
        <v>472.00048947368487</v>
      </c>
      <c r="I58" s="3">
        <f>$I$21</f>
        <v>472.00048947368487</v>
      </c>
      <c r="J58" s="3">
        <f>$J$21</f>
        <v>472.00048947368487</v>
      </c>
      <c r="K58" s="3">
        <f>$K$21</f>
        <v>472.00048947368487</v>
      </c>
      <c r="L58" s="3">
        <f>$L$21</f>
        <v>472.00048947368487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472.00048947368487</v>
      </c>
      <c r="D63" s="3">
        <f>$D$21</f>
        <v>472.00048947368487</v>
      </c>
      <c r="E63" s="3">
        <f>$E$21</f>
        <v>472.00048947368487</v>
      </c>
      <c r="F63" s="3">
        <f>$F$21</f>
        <v>472.00048947368487</v>
      </c>
      <c r="G63" s="3">
        <f>$G$21</f>
        <v>-2527.9995105263151</v>
      </c>
      <c r="H63" s="3">
        <f>$H$21</f>
        <v>472.00048947368487</v>
      </c>
      <c r="I63" s="3">
        <f>$I$21</f>
        <v>472.00048947368487</v>
      </c>
      <c r="J63" s="3">
        <f>$J$21</f>
        <v>472.00048947368487</v>
      </c>
      <c r="K63" s="3">
        <f>$K$21</f>
        <v>472.00048947368487</v>
      </c>
      <c r="L63" s="3">
        <f>$L$21</f>
        <v>472.00048947368487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472.00048947368487</v>
      </c>
      <c r="D68" s="3">
        <f>$D$21</f>
        <v>472.00048947368487</v>
      </c>
      <c r="E68" s="3">
        <f>$E$21</f>
        <v>472.00048947368487</v>
      </c>
      <c r="F68" s="3">
        <f>$F$21</f>
        <v>472.00048947368487</v>
      </c>
      <c r="G68" s="3">
        <f>$G$21</f>
        <v>-2527.9995105263151</v>
      </c>
      <c r="H68" s="3">
        <f>$H$21</f>
        <v>472.00048947368487</v>
      </c>
      <c r="I68" s="3">
        <f>$I$21</f>
        <v>472.00048947368487</v>
      </c>
      <c r="J68" s="3">
        <f>$J$21</f>
        <v>472.00048947368487</v>
      </c>
      <c r="K68" s="3">
        <f>$K$21</f>
        <v>472.00048947368487</v>
      </c>
      <c r="L68" s="3">
        <f>$L$21</f>
        <v>472.00048947368487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472.00048947368487</v>
      </c>
      <c r="D73" s="3">
        <f>$D$21</f>
        <v>472.00048947368487</v>
      </c>
      <c r="E73" s="3">
        <f>$E$21</f>
        <v>472.00048947368487</v>
      </c>
      <c r="F73" s="3">
        <f>$F$21</f>
        <v>472.00048947368487</v>
      </c>
      <c r="G73" s="3">
        <f>$G$21</f>
        <v>-2527.9995105263151</v>
      </c>
      <c r="H73" s="3">
        <f>$H$21</f>
        <v>472.00048947368487</v>
      </c>
      <c r="I73" s="3">
        <f>$I$21</f>
        <v>472.00048947368487</v>
      </c>
      <c r="J73" s="3">
        <f>$J$21</f>
        <v>472.00048947368487</v>
      </c>
      <c r="K73" s="3">
        <f>$K$21</f>
        <v>472.00048947368487</v>
      </c>
      <c r="L73" s="3">
        <f>$L$21</f>
        <v>472.00048947368487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472.00048947368487</v>
      </c>
      <c r="D78" s="3">
        <f>$D$21</f>
        <v>472.00048947368487</v>
      </c>
      <c r="E78" s="3">
        <f>$E$21</f>
        <v>472.00048947368487</v>
      </c>
      <c r="F78" s="3">
        <f>$F$21</f>
        <v>472.00048947368487</v>
      </c>
      <c r="G78" s="3">
        <f>$G$21</f>
        <v>-2527.9995105263151</v>
      </c>
      <c r="H78" s="3">
        <f>$H$21</f>
        <v>472.00048947368487</v>
      </c>
      <c r="I78" s="3">
        <f>$I$21</f>
        <v>472.00048947368487</v>
      </c>
      <c r="J78" s="3">
        <f>$J$21</f>
        <v>472.00048947368487</v>
      </c>
      <c r="K78" s="3">
        <f>$K$21</f>
        <v>472.00048947368487</v>
      </c>
      <c r="L78" s="3">
        <f>$L$21</f>
        <v>472.00048947368487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472.00048947368487</v>
      </c>
      <c r="D83" s="3">
        <f>$D$21</f>
        <v>472.00048947368487</v>
      </c>
      <c r="E83" s="3">
        <f>$E$21</f>
        <v>472.00048947368487</v>
      </c>
      <c r="F83" s="3">
        <f>$F$21</f>
        <v>472.00048947368487</v>
      </c>
      <c r="G83" s="3">
        <f>$G$21</f>
        <v>-2527.9995105263151</v>
      </c>
      <c r="H83" s="3">
        <f>$H$21</f>
        <v>472.00048947368487</v>
      </c>
      <c r="I83" s="3">
        <f>$I$21</f>
        <v>472.00048947368487</v>
      </c>
      <c r="J83" s="3">
        <f>$J$21</f>
        <v>472.00048947368487</v>
      </c>
      <c r="K83" s="3">
        <f>$K$21</f>
        <v>472.00048947368487</v>
      </c>
      <c r="L83" s="3">
        <f>$L$21</f>
        <v>472.00048947368487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472.00048947368487</v>
      </c>
      <c r="D88" s="3">
        <f>$D$21</f>
        <v>472.00048947368487</v>
      </c>
      <c r="E88" s="3">
        <f>$E$21</f>
        <v>472.00048947368487</v>
      </c>
      <c r="F88" s="3">
        <f>$F$21</f>
        <v>472.00048947368487</v>
      </c>
      <c r="G88" s="3">
        <f>$G$21</f>
        <v>-2527.9995105263151</v>
      </c>
      <c r="H88" s="3">
        <f>$H$21</f>
        <v>472.00048947368487</v>
      </c>
      <c r="I88" s="3">
        <f>$I$21</f>
        <v>472.00048947368487</v>
      </c>
      <c r="J88" s="3">
        <f>$J$21</f>
        <v>472.00048947368487</v>
      </c>
      <c r="K88" s="3">
        <f>$K$21</f>
        <v>472.00048947368487</v>
      </c>
      <c r="L88" s="3">
        <f>$L$21</f>
        <v>472.00048947368487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472.00048947368487</v>
      </c>
      <c r="D93" s="3">
        <f>$D$21</f>
        <v>472.00048947368487</v>
      </c>
      <c r="E93" s="3">
        <f>$E$21</f>
        <v>472.00048947368487</v>
      </c>
      <c r="F93" s="3">
        <f>$F$21</f>
        <v>472.00048947368487</v>
      </c>
      <c r="G93" s="3">
        <f>$G$21</f>
        <v>-2527.9995105263151</v>
      </c>
      <c r="H93" s="3">
        <f>$H$21</f>
        <v>472.00048947368487</v>
      </c>
      <c r="I93" s="3">
        <f>$I$21</f>
        <v>472.00048947368487</v>
      </c>
      <c r="J93" s="3">
        <f>$J$21</f>
        <v>472.00048947368487</v>
      </c>
      <c r="K93" s="3">
        <f>$K$21</f>
        <v>472.00048947368487</v>
      </c>
      <c r="L93" s="3">
        <f>$L$21</f>
        <v>472.00048947368487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472.00048947368487</v>
      </c>
      <c r="D98" s="3">
        <f>$D$21</f>
        <v>472.00048947368487</v>
      </c>
      <c r="E98" s="3">
        <f>$E$21</f>
        <v>472.00048947368487</v>
      </c>
      <c r="F98" s="3">
        <f>$F$21</f>
        <v>472.00048947368487</v>
      </c>
      <c r="G98" s="3">
        <f>$G$21</f>
        <v>-2527.9995105263151</v>
      </c>
      <c r="H98" s="3">
        <f>$H$21</f>
        <v>472.00048947368487</v>
      </c>
      <c r="I98" s="3">
        <f>$I$21</f>
        <v>472.00048947368487</v>
      </c>
      <c r="J98" s="3">
        <f>$J$21</f>
        <v>472.00048947368487</v>
      </c>
      <c r="K98" s="3">
        <f>$K$21</f>
        <v>472.00048947368487</v>
      </c>
      <c r="L98" s="3">
        <f>$L$21</f>
        <v>472.00048947368487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472.00048947368487</v>
      </c>
      <c r="D103" s="3">
        <f>$D$21</f>
        <v>472.00048947368487</v>
      </c>
      <c r="E103" s="3">
        <f>$E$21</f>
        <v>472.00048947368487</v>
      </c>
      <c r="F103" s="3">
        <f>$F$21</f>
        <v>472.00048947368487</v>
      </c>
      <c r="G103" s="3">
        <f>$G$21</f>
        <v>-2527.9995105263151</v>
      </c>
      <c r="H103" s="3">
        <f>$H$21</f>
        <v>472.00048947368487</v>
      </c>
      <c r="I103" s="3">
        <f>$I$21</f>
        <v>472.00048947368487</v>
      </c>
      <c r="J103" s="3">
        <f>$J$21</f>
        <v>472.00048947368487</v>
      </c>
      <c r="K103" s="3">
        <f>$K$21</f>
        <v>472.00048947368487</v>
      </c>
      <c r="L103" s="3">
        <f>$L$21</f>
        <v>472.00048947368487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472.00048947368487</v>
      </c>
      <c r="D108" s="3">
        <f>$D$21</f>
        <v>472.00048947368487</v>
      </c>
      <c r="E108" s="3">
        <f>$E$21</f>
        <v>472.00048947368487</v>
      </c>
      <c r="F108" s="3">
        <f>$F$21</f>
        <v>472.00048947368487</v>
      </c>
      <c r="G108" s="3">
        <f>$G$21</f>
        <v>-2527.9995105263151</v>
      </c>
      <c r="H108" s="3">
        <f>$H$21</f>
        <v>472.00048947368487</v>
      </c>
      <c r="I108" s="3">
        <f>$I$21</f>
        <v>472.00048947368487</v>
      </c>
      <c r="J108" s="3">
        <f>$J$21</f>
        <v>472.00048947368487</v>
      </c>
      <c r="K108" s="3">
        <f>$K$21</f>
        <v>472.00048947368487</v>
      </c>
      <c r="L108" s="3">
        <f>$L$21</f>
        <v>472.00048947368487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472.00048947368487</v>
      </c>
      <c r="D113" s="3">
        <f>$D$21</f>
        <v>472.00048947368487</v>
      </c>
      <c r="E113" s="3">
        <f>$E$21</f>
        <v>472.00048947368487</v>
      </c>
      <c r="F113" s="3">
        <f>$F$21</f>
        <v>472.00048947368487</v>
      </c>
      <c r="G113" s="3">
        <f>$G$21</f>
        <v>-2527.9995105263151</v>
      </c>
      <c r="H113" s="3">
        <f>$H$21</f>
        <v>472.00048947368487</v>
      </c>
      <c r="I113" s="3">
        <f>$I$21</f>
        <v>472.00048947368487</v>
      </c>
      <c r="J113" s="3">
        <f>$J$21</f>
        <v>472.00048947368487</v>
      </c>
      <c r="K113" s="3">
        <f>$K$21</f>
        <v>472.00048947368487</v>
      </c>
      <c r="L113" s="3">
        <f>$L$21</f>
        <v>472.00048947368487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472.00048947368487</v>
      </c>
      <c r="D118" s="3">
        <f>$D$21</f>
        <v>472.00048947368487</v>
      </c>
      <c r="E118" s="3">
        <f>$E$21</f>
        <v>472.00048947368487</v>
      </c>
      <c r="F118" s="3">
        <f>$F$21</f>
        <v>472.00048947368487</v>
      </c>
      <c r="G118" s="3">
        <f>$G$21</f>
        <v>-2527.9995105263151</v>
      </c>
      <c r="H118" s="3">
        <f>$H$21</f>
        <v>472.00048947368487</v>
      </c>
      <c r="I118" s="3">
        <f>$I$21</f>
        <v>472.00048947368487</v>
      </c>
      <c r="J118" s="3">
        <f>$J$21</f>
        <v>472.00048947368487</v>
      </c>
      <c r="K118" s="3">
        <f>$K$21</f>
        <v>472.00048947368487</v>
      </c>
      <c r="L118" s="3">
        <f>$L$21</f>
        <v>472.00048947368487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EA1D-6AF8-4DC9-9907-61A654EC25C4}">
  <dimension ref="A1:T126"/>
  <sheetViews>
    <sheetView workbookViewId="0">
      <selection activeCell="A17" sqref="A17:L18"/>
    </sheetView>
  </sheetViews>
  <sheetFormatPr defaultRowHeight="14.25"/>
  <cols>
    <col min="1" max="1" width="20" customWidth="1"/>
  </cols>
  <sheetData>
    <row r="1" spans="1:15">
      <c r="A1" s="1" t="s">
        <v>24</v>
      </c>
      <c r="B1" s="28">
        <v>0.125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12285.9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5528.6549999999997</v>
      </c>
      <c r="D7" s="2">
        <f>$B$3*'IRR inputs &amp; outputs'!$B$13</f>
        <v>5528.6549999999997</v>
      </c>
      <c r="E7" s="2">
        <f>$B$3*'IRR inputs &amp; outputs'!$B$13</f>
        <v>5528.6549999999997</v>
      </c>
      <c r="F7" s="2">
        <f>$B$3*'IRR inputs &amp; outputs'!$B$13</f>
        <v>5528.6549999999997</v>
      </c>
      <c r="G7" s="2">
        <f>$B$3*'IRR inputs &amp; outputs'!$B$13</f>
        <v>5528.6549999999997</v>
      </c>
      <c r="H7" s="2">
        <f>$B$3*'IRR inputs &amp; outputs'!$B$13</f>
        <v>5528.6549999999997</v>
      </c>
      <c r="I7" s="2">
        <f>$B$3*'IRR inputs &amp; outputs'!$B$13</f>
        <v>5528.6549999999997</v>
      </c>
      <c r="J7" s="2">
        <f>$B$3*'IRR inputs &amp; outputs'!$B$13</f>
        <v>5528.6549999999997</v>
      </c>
      <c r="K7" s="2">
        <f>$B$3*'IRR inputs &amp; outputs'!$B$13</f>
        <v>5528.6549999999997</v>
      </c>
      <c r="L7" s="2">
        <f>$B$3*'IRR inputs &amp; outputs'!$B$13</f>
        <v>5528.6549999999997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5528.6549999999997</v>
      </c>
      <c r="D9" s="2">
        <f t="shared" si="0"/>
        <v>5528.6549999999997</v>
      </c>
      <c r="E9" s="2">
        <f t="shared" si="0"/>
        <v>5528.6549999999997</v>
      </c>
      <c r="F9" s="2">
        <f t="shared" si="0"/>
        <v>5528.6549999999997</v>
      </c>
      <c r="G9" s="2">
        <f t="shared" si="0"/>
        <v>5528.6549999999997</v>
      </c>
      <c r="H9" s="2">
        <f t="shared" si="0"/>
        <v>5528.6549999999997</v>
      </c>
      <c r="I9" s="2">
        <f t="shared" si="0"/>
        <v>5528.6549999999997</v>
      </c>
      <c r="J9" s="2">
        <f t="shared" si="0"/>
        <v>5528.6549999999997</v>
      </c>
      <c r="K9" s="2">
        <f t="shared" si="0"/>
        <v>5528.6549999999997</v>
      </c>
      <c r="L9" s="2">
        <f t="shared" si="0"/>
        <v>5528.6549999999997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2586.5052631578947</v>
      </c>
      <c r="D16" s="2">
        <f>(1/'IRR inputs &amp; outputs'!$B$8)*$B$3*'IRR inputs &amp; outputs'!$B$9+'IRR inputs &amp; outputs'!$B$10</f>
        <v>2586.5052631578947</v>
      </c>
      <c r="E16" s="2">
        <f>(1/'IRR inputs &amp; outputs'!$B$8)*$B$3*'IRR inputs &amp; outputs'!$B$9+'IRR inputs &amp; outputs'!$B$10</f>
        <v>2586.5052631578947</v>
      </c>
      <c r="F16" s="2">
        <f>(1/'IRR inputs &amp; outputs'!$B$8)*$B$3*'IRR inputs &amp; outputs'!$B$9+'IRR inputs &amp; outputs'!$B$10</f>
        <v>2586.5052631578947</v>
      </c>
      <c r="G16" s="2">
        <f>(1/'IRR inputs &amp; outputs'!$B$8)*$B$3*'IRR inputs &amp; outputs'!$B$9+'IRR inputs &amp; outputs'!$B$10</f>
        <v>2586.5052631578947</v>
      </c>
      <c r="H16" s="2">
        <f>(1/'IRR inputs &amp; outputs'!$B$8)*$B$3*'IRR inputs &amp; outputs'!$B$9+'IRR inputs &amp; outputs'!$B$10</f>
        <v>2586.5052631578947</v>
      </c>
      <c r="I16" s="2">
        <f>(1/'IRR inputs &amp; outputs'!$B$8)*$B$3*'IRR inputs &amp; outputs'!$B$9+'IRR inputs &amp; outputs'!$B$10</f>
        <v>2586.5052631578947</v>
      </c>
      <c r="J16" s="2">
        <f>(1/'IRR inputs &amp; outputs'!$B$8)*$B$3*'IRR inputs &amp; outputs'!$B$9+'IRR inputs &amp; outputs'!$B$10</f>
        <v>2586.5052631578947</v>
      </c>
      <c r="K16" s="2">
        <f>(1/'IRR inputs &amp; outputs'!$B$8)*$B$3*'IRR inputs &amp; outputs'!$B$9+'IRR inputs &amp; outputs'!$B$10</f>
        <v>2586.5052631578947</v>
      </c>
      <c r="L16" s="2">
        <f>(1/'IRR inputs &amp; outputs'!$B$8)*$B$3*'IRR inputs &amp; outputs'!$B$9+'IRR inputs &amp; outputs'!$B$10</f>
        <v>2586.5052631578947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414.64912499999997</v>
      </c>
      <c r="D18" s="2">
        <f>$B$3*'IRR inputs &amp; outputs'!$B$11*'IRR inputs &amp; outputs'!$B$13</f>
        <v>414.64912499999997</v>
      </c>
      <c r="E18" s="2">
        <f>$B$3*'IRR inputs &amp; outputs'!$B$11*'IRR inputs &amp; outputs'!$B$13</f>
        <v>414.64912499999997</v>
      </c>
      <c r="F18" s="2">
        <f>$B$3*'IRR inputs &amp; outputs'!$B$11*'IRR inputs &amp; outputs'!$B$13</f>
        <v>414.64912499999997</v>
      </c>
      <c r="G18" s="2">
        <f>$B$3*'IRR inputs &amp; outputs'!$B$11*'IRR inputs &amp; outputs'!$B$13</f>
        <v>414.64912499999997</v>
      </c>
      <c r="H18" s="2">
        <f>$B$3*'IRR inputs &amp; outputs'!$B$11*'IRR inputs &amp; outputs'!$B$13</f>
        <v>414.64912499999997</v>
      </c>
      <c r="I18" s="2">
        <f>$B$3*'IRR inputs &amp; outputs'!$B$11*'IRR inputs &amp; outputs'!$B$13</f>
        <v>414.64912499999997</v>
      </c>
      <c r="J18" s="2">
        <f>$B$3*'IRR inputs &amp; outputs'!$B$11*'IRR inputs &amp; outputs'!$B$13</f>
        <v>414.64912499999997</v>
      </c>
      <c r="K18" s="2">
        <f>$B$3*'IRR inputs &amp; outputs'!$B$11*'IRR inputs &amp; outputs'!$B$13</f>
        <v>414.64912499999997</v>
      </c>
      <c r="L18" s="2">
        <f>$B$3*'IRR inputs &amp; outputs'!$B$11*'IRR inputs &amp; outputs'!$B$13</f>
        <v>414.64912499999997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4551.1543881578946</v>
      </c>
      <c r="D19" s="3">
        <f t="shared" si="1"/>
        <v>4551.1543881578946</v>
      </c>
      <c r="E19" s="3">
        <f t="shared" si="1"/>
        <v>4551.1543881578946</v>
      </c>
      <c r="F19" s="3">
        <f t="shared" si="1"/>
        <v>4551.1543881578946</v>
      </c>
      <c r="G19" s="3">
        <f t="shared" si="1"/>
        <v>7551.1543881578946</v>
      </c>
      <c r="H19" s="3">
        <f t="shared" si="1"/>
        <v>4551.1543881578946</v>
      </c>
      <c r="I19" s="3">
        <f t="shared" si="1"/>
        <v>4551.1543881578946</v>
      </c>
      <c r="J19" s="3">
        <f t="shared" si="1"/>
        <v>4551.1543881578946</v>
      </c>
      <c r="K19" s="3">
        <f t="shared" si="1"/>
        <v>4551.1543881578946</v>
      </c>
      <c r="L19" s="3">
        <f t="shared" si="1"/>
        <v>4551.1543881578946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977.50061184210517</v>
      </c>
      <c r="D21" s="3">
        <f t="shared" si="2"/>
        <v>977.50061184210517</v>
      </c>
      <c r="E21" s="3">
        <f t="shared" si="2"/>
        <v>977.50061184210517</v>
      </c>
      <c r="F21" s="3">
        <f t="shared" si="2"/>
        <v>977.50061184210517</v>
      </c>
      <c r="G21" s="3">
        <f t="shared" si="2"/>
        <v>-2022.4993881578948</v>
      </c>
      <c r="H21" s="3">
        <f t="shared" si="2"/>
        <v>977.50061184210517</v>
      </c>
      <c r="I21" s="3">
        <f t="shared" si="2"/>
        <v>977.50061184210517</v>
      </c>
      <c r="J21" s="3">
        <f t="shared" si="2"/>
        <v>977.50061184210517</v>
      </c>
      <c r="K21" s="3">
        <f t="shared" si="2"/>
        <v>977.50061184210517</v>
      </c>
      <c r="L21" s="3">
        <f t="shared" si="2"/>
        <v>977.50061184210517</v>
      </c>
    </row>
    <row r="23" spans="1:12">
      <c r="A23" t="s">
        <v>25</v>
      </c>
      <c r="B23" s="4">
        <f>IFERROR(IRR(B21:L21),NA())</f>
        <v>1.899330526266283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977.50061184210517</v>
      </c>
      <c r="D28" s="3">
        <f>$D$21</f>
        <v>977.50061184210517</v>
      </c>
      <c r="E28" s="3">
        <f>$E$21</f>
        <v>977.50061184210517</v>
      </c>
      <c r="F28" s="3">
        <f>$F$21</f>
        <v>977.50061184210517</v>
      </c>
      <c r="G28" s="3">
        <f>$G$21</f>
        <v>-2022.4993881578948</v>
      </c>
      <c r="H28" s="3">
        <f>$H$21</f>
        <v>977.50061184210517</v>
      </c>
      <c r="I28" s="3">
        <f>$I$21</f>
        <v>977.50061184210517</v>
      </c>
      <c r="J28" s="3">
        <f>$J$21</f>
        <v>977.50061184210517</v>
      </c>
      <c r="K28" s="3">
        <f>$K$21</f>
        <v>977.50061184210517</v>
      </c>
      <c r="L28" s="3">
        <f>$L$21</f>
        <v>977.50061184210517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977.50061184210517</v>
      </c>
      <c r="D33" s="3">
        <f>$D$21</f>
        <v>977.50061184210517</v>
      </c>
      <c r="E33" s="3">
        <f>$E$21</f>
        <v>977.50061184210517</v>
      </c>
      <c r="F33" s="3">
        <f>$F$21</f>
        <v>977.50061184210517</v>
      </c>
      <c r="G33" s="3">
        <f>$G$21</f>
        <v>-2022.4993881578948</v>
      </c>
      <c r="H33" s="3">
        <f>$H$21</f>
        <v>977.50061184210517</v>
      </c>
      <c r="I33" s="3">
        <f>$I$21</f>
        <v>977.50061184210517</v>
      </c>
      <c r="J33" s="3">
        <f>$J$21</f>
        <v>977.50061184210517</v>
      </c>
      <c r="K33" s="3">
        <f>$K$21</f>
        <v>977.50061184210517</v>
      </c>
      <c r="L33" s="3">
        <f>$L$21</f>
        <v>977.50061184210517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977.50061184210517</v>
      </c>
      <c r="D38" s="3">
        <f>$D$21</f>
        <v>977.50061184210517</v>
      </c>
      <c r="E38" s="3">
        <f>$E$21</f>
        <v>977.50061184210517</v>
      </c>
      <c r="F38" s="3">
        <f>$F$21</f>
        <v>977.50061184210517</v>
      </c>
      <c r="G38" s="3">
        <f>$G$21</f>
        <v>-2022.4993881578948</v>
      </c>
      <c r="H38" s="3">
        <f>$H$21</f>
        <v>977.50061184210517</v>
      </c>
      <c r="I38" s="3">
        <f>$I$21</f>
        <v>977.50061184210517</v>
      </c>
      <c r="J38" s="3">
        <f>$J$21</f>
        <v>977.50061184210517</v>
      </c>
      <c r="K38" s="3">
        <f>$K$21</f>
        <v>977.50061184210517</v>
      </c>
      <c r="L38" s="3">
        <f>$L$21</f>
        <v>977.50061184210517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977.50061184210517</v>
      </c>
      <c r="D43" s="3">
        <f>$D$21</f>
        <v>977.50061184210517</v>
      </c>
      <c r="E43" s="3">
        <f>$E$21</f>
        <v>977.50061184210517</v>
      </c>
      <c r="F43" s="3">
        <f>$F$21</f>
        <v>977.50061184210517</v>
      </c>
      <c r="G43" s="3">
        <f>$G$21</f>
        <v>-2022.4993881578948</v>
      </c>
      <c r="H43" s="3">
        <f>$H$21</f>
        <v>977.50061184210517</v>
      </c>
      <c r="I43" s="3">
        <f>$I$21</f>
        <v>977.50061184210517</v>
      </c>
      <c r="J43" s="3">
        <f>$J$21</f>
        <v>977.50061184210517</v>
      </c>
      <c r="K43" s="3">
        <f>$K$21</f>
        <v>977.50061184210517</v>
      </c>
      <c r="L43" s="3">
        <f>$L$21</f>
        <v>977.50061184210517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977.50061184210517</v>
      </c>
      <c r="D48" s="3">
        <f>$D$21</f>
        <v>977.50061184210517</v>
      </c>
      <c r="E48" s="3">
        <f>$E$21</f>
        <v>977.50061184210517</v>
      </c>
      <c r="F48" s="3">
        <f>$F$21</f>
        <v>977.50061184210517</v>
      </c>
      <c r="G48" s="3">
        <f>$G$21</f>
        <v>-2022.4993881578948</v>
      </c>
      <c r="H48" s="3">
        <f>$H$21</f>
        <v>977.50061184210517</v>
      </c>
      <c r="I48" s="3">
        <f>$I$21</f>
        <v>977.50061184210517</v>
      </c>
      <c r="J48" s="3">
        <f>$J$21</f>
        <v>977.50061184210517</v>
      </c>
      <c r="K48" s="3">
        <f>$K$21</f>
        <v>977.50061184210517</v>
      </c>
      <c r="L48" s="3">
        <f>$L$21</f>
        <v>977.50061184210517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977.50061184210517</v>
      </c>
      <c r="D53" s="3">
        <f>$D$21</f>
        <v>977.50061184210517</v>
      </c>
      <c r="E53" s="3">
        <f>$E$21</f>
        <v>977.50061184210517</v>
      </c>
      <c r="F53" s="3">
        <f>$F$21</f>
        <v>977.50061184210517</v>
      </c>
      <c r="G53" s="3">
        <f>$G$21</f>
        <v>-2022.4993881578948</v>
      </c>
      <c r="H53" s="3">
        <f>$H$21</f>
        <v>977.50061184210517</v>
      </c>
      <c r="I53" s="3">
        <f>$I$21</f>
        <v>977.50061184210517</v>
      </c>
      <c r="J53" s="3">
        <f>$J$21</f>
        <v>977.50061184210517</v>
      </c>
      <c r="K53" s="3">
        <f>$K$21</f>
        <v>977.50061184210517</v>
      </c>
      <c r="L53" s="3">
        <f>$L$21</f>
        <v>977.50061184210517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977.50061184210517</v>
      </c>
      <c r="D58" s="3">
        <f>$D$21</f>
        <v>977.50061184210517</v>
      </c>
      <c r="E58" s="3">
        <f>$E$21</f>
        <v>977.50061184210517</v>
      </c>
      <c r="F58" s="3">
        <f>$F$21</f>
        <v>977.50061184210517</v>
      </c>
      <c r="G58" s="3">
        <f>$G$21</f>
        <v>-2022.4993881578948</v>
      </c>
      <c r="H58" s="3">
        <f>$H$21</f>
        <v>977.50061184210517</v>
      </c>
      <c r="I58" s="3">
        <f>$I$21</f>
        <v>977.50061184210517</v>
      </c>
      <c r="J58" s="3">
        <f>$J$21</f>
        <v>977.50061184210517</v>
      </c>
      <c r="K58" s="3">
        <f>$K$21</f>
        <v>977.50061184210517</v>
      </c>
      <c r="L58" s="3">
        <f>$L$21</f>
        <v>977.50061184210517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977.50061184210517</v>
      </c>
      <c r="D63" s="3">
        <f>$D$21</f>
        <v>977.50061184210517</v>
      </c>
      <c r="E63" s="3">
        <f>$E$21</f>
        <v>977.50061184210517</v>
      </c>
      <c r="F63" s="3">
        <f>$F$21</f>
        <v>977.50061184210517</v>
      </c>
      <c r="G63" s="3">
        <f>$G$21</f>
        <v>-2022.4993881578948</v>
      </c>
      <c r="H63" s="3">
        <f>$H$21</f>
        <v>977.50061184210517</v>
      </c>
      <c r="I63" s="3">
        <f>$I$21</f>
        <v>977.50061184210517</v>
      </c>
      <c r="J63" s="3">
        <f>$J$21</f>
        <v>977.50061184210517</v>
      </c>
      <c r="K63" s="3">
        <f>$K$21</f>
        <v>977.50061184210517</v>
      </c>
      <c r="L63" s="3">
        <f>$L$21</f>
        <v>977.50061184210517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977.50061184210517</v>
      </c>
      <c r="D68" s="3">
        <f>$D$21</f>
        <v>977.50061184210517</v>
      </c>
      <c r="E68" s="3">
        <f>$E$21</f>
        <v>977.50061184210517</v>
      </c>
      <c r="F68" s="3">
        <f>$F$21</f>
        <v>977.50061184210517</v>
      </c>
      <c r="G68" s="3">
        <f>$G$21</f>
        <v>-2022.4993881578948</v>
      </c>
      <c r="H68" s="3">
        <f>$H$21</f>
        <v>977.50061184210517</v>
      </c>
      <c r="I68" s="3">
        <f>$I$21</f>
        <v>977.50061184210517</v>
      </c>
      <c r="J68" s="3">
        <f>$J$21</f>
        <v>977.50061184210517</v>
      </c>
      <c r="K68" s="3">
        <f>$K$21</f>
        <v>977.50061184210517</v>
      </c>
      <c r="L68" s="3">
        <f>$L$21</f>
        <v>977.50061184210517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977.50061184210517</v>
      </c>
      <c r="D73" s="3">
        <f>$D$21</f>
        <v>977.50061184210517</v>
      </c>
      <c r="E73" s="3">
        <f>$E$21</f>
        <v>977.50061184210517</v>
      </c>
      <c r="F73" s="3">
        <f>$F$21</f>
        <v>977.50061184210517</v>
      </c>
      <c r="G73" s="3">
        <f>$G$21</f>
        <v>-2022.4993881578948</v>
      </c>
      <c r="H73" s="3">
        <f>$H$21</f>
        <v>977.50061184210517</v>
      </c>
      <c r="I73" s="3">
        <f>$I$21</f>
        <v>977.50061184210517</v>
      </c>
      <c r="J73" s="3">
        <f>$J$21</f>
        <v>977.50061184210517</v>
      </c>
      <c r="K73" s="3">
        <f>$K$21</f>
        <v>977.50061184210517</v>
      </c>
      <c r="L73" s="3">
        <f>$L$21</f>
        <v>977.50061184210517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977.50061184210517</v>
      </c>
      <c r="D78" s="3">
        <f>$D$21</f>
        <v>977.50061184210517</v>
      </c>
      <c r="E78" s="3">
        <f>$E$21</f>
        <v>977.50061184210517</v>
      </c>
      <c r="F78" s="3">
        <f>$F$21</f>
        <v>977.50061184210517</v>
      </c>
      <c r="G78" s="3">
        <f>$G$21</f>
        <v>-2022.4993881578948</v>
      </c>
      <c r="H78" s="3">
        <f>$H$21</f>
        <v>977.50061184210517</v>
      </c>
      <c r="I78" s="3">
        <f>$I$21</f>
        <v>977.50061184210517</v>
      </c>
      <c r="J78" s="3">
        <f>$J$21</f>
        <v>977.50061184210517</v>
      </c>
      <c r="K78" s="3">
        <f>$K$21</f>
        <v>977.50061184210517</v>
      </c>
      <c r="L78" s="3">
        <f>$L$21</f>
        <v>977.50061184210517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977.50061184210517</v>
      </c>
      <c r="D83" s="3">
        <f>$D$21</f>
        <v>977.50061184210517</v>
      </c>
      <c r="E83" s="3">
        <f>$E$21</f>
        <v>977.50061184210517</v>
      </c>
      <c r="F83" s="3">
        <f>$F$21</f>
        <v>977.50061184210517</v>
      </c>
      <c r="G83" s="3">
        <f>$G$21</f>
        <v>-2022.4993881578948</v>
      </c>
      <c r="H83" s="3">
        <f>$H$21</f>
        <v>977.50061184210517</v>
      </c>
      <c r="I83" s="3">
        <f>$I$21</f>
        <v>977.50061184210517</v>
      </c>
      <c r="J83" s="3">
        <f>$J$21</f>
        <v>977.50061184210517</v>
      </c>
      <c r="K83" s="3">
        <f>$K$21</f>
        <v>977.50061184210517</v>
      </c>
      <c r="L83" s="3">
        <f>$L$21</f>
        <v>977.50061184210517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977.50061184210517</v>
      </c>
      <c r="D88" s="3">
        <f>$D$21</f>
        <v>977.50061184210517</v>
      </c>
      <c r="E88" s="3">
        <f>$E$21</f>
        <v>977.50061184210517</v>
      </c>
      <c r="F88" s="3">
        <f>$F$21</f>
        <v>977.50061184210517</v>
      </c>
      <c r="G88" s="3">
        <f>$G$21</f>
        <v>-2022.4993881578948</v>
      </c>
      <c r="H88" s="3">
        <f>$H$21</f>
        <v>977.50061184210517</v>
      </c>
      <c r="I88" s="3">
        <f>$I$21</f>
        <v>977.50061184210517</v>
      </c>
      <c r="J88" s="3">
        <f>$J$21</f>
        <v>977.50061184210517</v>
      </c>
      <c r="K88" s="3">
        <f>$K$21</f>
        <v>977.50061184210517</v>
      </c>
      <c r="L88" s="3">
        <f>$L$21</f>
        <v>977.50061184210517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977.50061184210517</v>
      </c>
      <c r="D93" s="3">
        <f>$D$21</f>
        <v>977.50061184210517</v>
      </c>
      <c r="E93" s="3">
        <f>$E$21</f>
        <v>977.50061184210517</v>
      </c>
      <c r="F93" s="3">
        <f>$F$21</f>
        <v>977.50061184210517</v>
      </c>
      <c r="G93" s="3">
        <f>$G$21</f>
        <v>-2022.4993881578948</v>
      </c>
      <c r="H93" s="3">
        <f>$H$21</f>
        <v>977.50061184210517</v>
      </c>
      <c r="I93" s="3">
        <f>$I$21</f>
        <v>977.50061184210517</v>
      </c>
      <c r="J93" s="3">
        <f>$J$21</f>
        <v>977.50061184210517</v>
      </c>
      <c r="K93" s="3">
        <f>$K$21</f>
        <v>977.50061184210517</v>
      </c>
      <c r="L93" s="3">
        <f>$L$21</f>
        <v>977.50061184210517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977.50061184210517</v>
      </c>
      <c r="D98" s="3">
        <f>$D$21</f>
        <v>977.50061184210517</v>
      </c>
      <c r="E98" s="3">
        <f>$E$21</f>
        <v>977.50061184210517</v>
      </c>
      <c r="F98" s="3">
        <f>$F$21</f>
        <v>977.50061184210517</v>
      </c>
      <c r="G98" s="3">
        <f>$G$21</f>
        <v>-2022.4993881578948</v>
      </c>
      <c r="H98" s="3">
        <f>$H$21</f>
        <v>977.50061184210517</v>
      </c>
      <c r="I98" s="3">
        <f>$I$21</f>
        <v>977.50061184210517</v>
      </c>
      <c r="J98" s="3">
        <f>$J$21</f>
        <v>977.50061184210517</v>
      </c>
      <c r="K98" s="3">
        <f>$K$21</f>
        <v>977.50061184210517</v>
      </c>
      <c r="L98" s="3">
        <f>$L$21</f>
        <v>977.50061184210517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977.50061184210517</v>
      </c>
      <c r="D103" s="3">
        <f>$D$21</f>
        <v>977.50061184210517</v>
      </c>
      <c r="E103" s="3">
        <f>$E$21</f>
        <v>977.50061184210517</v>
      </c>
      <c r="F103" s="3">
        <f>$F$21</f>
        <v>977.50061184210517</v>
      </c>
      <c r="G103" s="3">
        <f>$G$21</f>
        <v>-2022.4993881578948</v>
      </c>
      <c r="H103" s="3">
        <f>$H$21</f>
        <v>977.50061184210517</v>
      </c>
      <c r="I103" s="3">
        <f>$I$21</f>
        <v>977.50061184210517</v>
      </c>
      <c r="J103" s="3">
        <f>$J$21</f>
        <v>977.50061184210517</v>
      </c>
      <c r="K103" s="3">
        <f>$K$21</f>
        <v>977.50061184210517</v>
      </c>
      <c r="L103" s="3">
        <f>$L$21</f>
        <v>977.50061184210517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977.50061184210517</v>
      </c>
      <c r="D108" s="3">
        <f>$D$21</f>
        <v>977.50061184210517</v>
      </c>
      <c r="E108" s="3">
        <f>$E$21</f>
        <v>977.50061184210517</v>
      </c>
      <c r="F108" s="3">
        <f>$F$21</f>
        <v>977.50061184210517</v>
      </c>
      <c r="G108" s="3">
        <f>$G$21</f>
        <v>-2022.4993881578948</v>
      </c>
      <c r="H108" s="3">
        <f>$H$21</f>
        <v>977.50061184210517</v>
      </c>
      <c r="I108" s="3">
        <f>$I$21</f>
        <v>977.50061184210517</v>
      </c>
      <c r="J108" s="3">
        <f>$J$21</f>
        <v>977.50061184210517</v>
      </c>
      <c r="K108" s="3">
        <f>$K$21</f>
        <v>977.50061184210517</v>
      </c>
      <c r="L108" s="3">
        <f>$L$21</f>
        <v>977.50061184210517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977.50061184210517</v>
      </c>
      <c r="D113" s="3">
        <f>$D$21</f>
        <v>977.50061184210517</v>
      </c>
      <c r="E113" s="3">
        <f>$E$21</f>
        <v>977.50061184210517</v>
      </c>
      <c r="F113" s="3">
        <f>$F$21</f>
        <v>977.50061184210517</v>
      </c>
      <c r="G113" s="3">
        <f>$G$21</f>
        <v>-2022.4993881578948</v>
      </c>
      <c r="H113" s="3">
        <f>$H$21</f>
        <v>977.50061184210517</v>
      </c>
      <c r="I113" s="3">
        <f>$I$21</f>
        <v>977.50061184210517</v>
      </c>
      <c r="J113" s="3">
        <f>$J$21</f>
        <v>977.50061184210517</v>
      </c>
      <c r="K113" s="3">
        <f>$K$21</f>
        <v>977.50061184210517</v>
      </c>
      <c r="L113" s="3">
        <f>$L$21</f>
        <v>977.50061184210517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977.50061184210517</v>
      </c>
      <c r="D118" s="3">
        <f>$D$21</f>
        <v>977.50061184210517</v>
      </c>
      <c r="E118" s="3">
        <f>$E$21</f>
        <v>977.50061184210517</v>
      </c>
      <c r="F118" s="3">
        <f>$F$21</f>
        <v>977.50061184210517</v>
      </c>
      <c r="G118" s="3">
        <f>$G$21</f>
        <v>-2022.4993881578948</v>
      </c>
      <c r="H118" s="3">
        <f>$H$21</f>
        <v>977.50061184210517</v>
      </c>
      <c r="I118" s="3">
        <f>$I$21</f>
        <v>977.50061184210517</v>
      </c>
      <c r="J118" s="3">
        <f>$J$21</f>
        <v>977.50061184210517</v>
      </c>
      <c r="K118" s="3">
        <f>$K$21</f>
        <v>977.50061184210517</v>
      </c>
      <c r="L118" s="3">
        <f>$L$21</f>
        <v>977.50061184210517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6191-A341-4B67-8F2C-B77CBE1A34B9}">
  <dimension ref="A1:T126"/>
  <sheetViews>
    <sheetView workbookViewId="0">
      <selection activeCell="A17" sqref="A17:L18"/>
    </sheetView>
  </sheetViews>
  <sheetFormatPr defaultRowHeight="14.25"/>
  <cols>
    <col min="1" max="1" width="20" customWidth="1"/>
  </cols>
  <sheetData>
    <row r="1" spans="1:15">
      <c r="A1" s="1" t="s">
        <v>24</v>
      </c>
      <c r="B1" s="5">
        <v>0.15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14743.08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6634.3860000000004</v>
      </c>
      <c r="D7" s="2">
        <f>$B$3*'IRR inputs &amp; outputs'!$B$13</f>
        <v>6634.3860000000004</v>
      </c>
      <c r="E7" s="2">
        <f>$B$3*'IRR inputs &amp; outputs'!$B$13</f>
        <v>6634.3860000000004</v>
      </c>
      <c r="F7" s="2">
        <f>$B$3*'IRR inputs &amp; outputs'!$B$13</f>
        <v>6634.3860000000004</v>
      </c>
      <c r="G7" s="2">
        <f>$B$3*'IRR inputs &amp; outputs'!$B$13</f>
        <v>6634.3860000000004</v>
      </c>
      <c r="H7" s="2">
        <f>$B$3*'IRR inputs &amp; outputs'!$B$13</f>
        <v>6634.3860000000004</v>
      </c>
      <c r="I7" s="2">
        <f>$B$3*'IRR inputs &amp; outputs'!$B$13</f>
        <v>6634.3860000000004</v>
      </c>
      <c r="J7" s="2">
        <f>$B$3*'IRR inputs &amp; outputs'!$B$13</f>
        <v>6634.3860000000004</v>
      </c>
      <c r="K7" s="2">
        <f>$B$3*'IRR inputs &amp; outputs'!$B$13</f>
        <v>6634.3860000000004</v>
      </c>
      <c r="L7" s="2">
        <f>$B$3*'IRR inputs &amp; outputs'!$B$13</f>
        <v>6634.3860000000004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6634.3860000000004</v>
      </c>
      <c r="D9" s="2">
        <f t="shared" si="0"/>
        <v>6634.3860000000004</v>
      </c>
      <c r="E9" s="2">
        <f t="shared" si="0"/>
        <v>6634.3860000000004</v>
      </c>
      <c r="F9" s="2">
        <f t="shared" si="0"/>
        <v>6634.3860000000004</v>
      </c>
      <c r="G9" s="2">
        <f t="shared" si="0"/>
        <v>6634.3860000000004</v>
      </c>
      <c r="H9" s="2">
        <f t="shared" si="0"/>
        <v>6634.3860000000004</v>
      </c>
      <c r="I9" s="2">
        <f t="shared" si="0"/>
        <v>6634.3860000000004</v>
      </c>
      <c r="J9" s="2">
        <f t="shared" si="0"/>
        <v>6634.3860000000004</v>
      </c>
      <c r="K9" s="2">
        <f t="shared" si="0"/>
        <v>6634.3860000000004</v>
      </c>
      <c r="L9" s="2">
        <f t="shared" si="0"/>
        <v>6634.3860000000004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3103.806315789474</v>
      </c>
      <c r="D16" s="2">
        <f>(1/'IRR inputs &amp; outputs'!$B$8)*$B$3*'IRR inputs &amp; outputs'!$B$9+'IRR inputs &amp; outputs'!$B$10</f>
        <v>3103.806315789474</v>
      </c>
      <c r="E16" s="2">
        <f>(1/'IRR inputs &amp; outputs'!$B$8)*$B$3*'IRR inputs &amp; outputs'!$B$9+'IRR inputs &amp; outputs'!$B$10</f>
        <v>3103.806315789474</v>
      </c>
      <c r="F16" s="2">
        <f>(1/'IRR inputs &amp; outputs'!$B$8)*$B$3*'IRR inputs &amp; outputs'!$B$9+'IRR inputs &amp; outputs'!$B$10</f>
        <v>3103.806315789474</v>
      </c>
      <c r="G16" s="2">
        <f>(1/'IRR inputs &amp; outputs'!$B$8)*$B$3*'IRR inputs &amp; outputs'!$B$9+'IRR inputs &amp; outputs'!$B$10</f>
        <v>3103.806315789474</v>
      </c>
      <c r="H16" s="2">
        <f>(1/'IRR inputs &amp; outputs'!$B$8)*$B$3*'IRR inputs &amp; outputs'!$B$9+'IRR inputs &amp; outputs'!$B$10</f>
        <v>3103.806315789474</v>
      </c>
      <c r="I16" s="2">
        <f>(1/'IRR inputs &amp; outputs'!$B$8)*$B$3*'IRR inputs &amp; outputs'!$B$9+'IRR inputs &amp; outputs'!$B$10</f>
        <v>3103.806315789474</v>
      </c>
      <c r="J16" s="2">
        <f>(1/'IRR inputs &amp; outputs'!$B$8)*$B$3*'IRR inputs &amp; outputs'!$B$9+'IRR inputs &amp; outputs'!$B$10</f>
        <v>3103.806315789474</v>
      </c>
      <c r="K16" s="2">
        <f>(1/'IRR inputs &amp; outputs'!$B$8)*$B$3*'IRR inputs &amp; outputs'!$B$9+'IRR inputs &amp; outputs'!$B$10</f>
        <v>3103.806315789474</v>
      </c>
      <c r="L16" s="2">
        <f>(1/'IRR inputs &amp; outputs'!$B$8)*$B$3*'IRR inputs &amp; outputs'!$B$9+'IRR inputs &amp; outputs'!$B$10</f>
        <v>3103.806315789474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497.57895000000002</v>
      </c>
      <c r="D18" s="2">
        <f>$B$3*'IRR inputs &amp; outputs'!$B$11*'IRR inputs &amp; outputs'!$B$13</f>
        <v>497.57895000000002</v>
      </c>
      <c r="E18" s="2">
        <f>$B$3*'IRR inputs &amp; outputs'!$B$11*'IRR inputs &amp; outputs'!$B$13</f>
        <v>497.57895000000002</v>
      </c>
      <c r="F18" s="2">
        <f>$B$3*'IRR inputs &amp; outputs'!$B$11*'IRR inputs &amp; outputs'!$B$13</f>
        <v>497.57895000000002</v>
      </c>
      <c r="G18" s="2">
        <f>$B$3*'IRR inputs &amp; outputs'!$B$11*'IRR inputs &amp; outputs'!$B$13</f>
        <v>497.57895000000002</v>
      </c>
      <c r="H18" s="2">
        <f>$B$3*'IRR inputs &amp; outputs'!$B$11*'IRR inputs &amp; outputs'!$B$13</f>
        <v>497.57895000000002</v>
      </c>
      <c r="I18" s="2">
        <f>$B$3*'IRR inputs &amp; outputs'!$B$11*'IRR inputs &amp; outputs'!$B$13</f>
        <v>497.57895000000002</v>
      </c>
      <c r="J18" s="2">
        <f>$B$3*'IRR inputs &amp; outputs'!$B$11*'IRR inputs &amp; outputs'!$B$13</f>
        <v>497.57895000000002</v>
      </c>
      <c r="K18" s="2">
        <f>$B$3*'IRR inputs &amp; outputs'!$B$11*'IRR inputs &amp; outputs'!$B$13</f>
        <v>497.57895000000002</v>
      </c>
      <c r="L18" s="2">
        <f>$B$3*'IRR inputs &amp; outputs'!$B$11*'IRR inputs &amp; outputs'!$B$13</f>
        <v>497.57895000000002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5151.385265789474</v>
      </c>
      <c r="D19" s="3">
        <f t="shared" si="1"/>
        <v>5151.385265789474</v>
      </c>
      <c r="E19" s="3">
        <f t="shared" si="1"/>
        <v>5151.385265789474</v>
      </c>
      <c r="F19" s="3">
        <f t="shared" si="1"/>
        <v>5151.385265789474</v>
      </c>
      <c r="G19" s="3">
        <f t="shared" si="1"/>
        <v>8151.385265789474</v>
      </c>
      <c r="H19" s="3">
        <f t="shared" si="1"/>
        <v>5151.385265789474</v>
      </c>
      <c r="I19" s="3">
        <f t="shared" si="1"/>
        <v>5151.385265789474</v>
      </c>
      <c r="J19" s="3">
        <f t="shared" si="1"/>
        <v>5151.385265789474</v>
      </c>
      <c r="K19" s="3">
        <f t="shared" si="1"/>
        <v>5151.385265789474</v>
      </c>
      <c r="L19" s="3">
        <f t="shared" si="1"/>
        <v>5151.385265789474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1483.0007342105264</v>
      </c>
      <c r="D21" s="3">
        <f t="shared" si="2"/>
        <v>1483.0007342105264</v>
      </c>
      <c r="E21" s="3">
        <f t="shared" si="2"/>
        <v>1483.0007342105264</v>
      </c>
      <c r="F21" s="3">
        <f t="shared" si="2"/>
        <v>1483.0007342105264</v>
      </c>
      <c r="G21" s="3">
        <f t="shared" si="2"/>
        <v>-1516.9992657894736</v>
      </c>
      <c r="H21" s="3">
        <f t="shared" si="2"/>
        <v>1483.0007342105264</v>
      </c>
      <c r="I21" s="3">
        <f t="shared" si="2"/>
        <v>1483.0007342105264</v>
      </c>
      <c r="J21" s="3">
        <f t="shared" si="2"/>
        <v>1483.0007342105264</v>
      </c>
      <c r="K21" s="3">
        <f t="shared" si="2"/>
        <v>1483.0007342105264</v>
      </c>
      <c r="L21" s="3">
        <f t="shared" si="2"/>
        <v>1483.0007342105264</v>
      </c>
    </row>
    <row r="23" spans="1:12">
      <c r="A23" t="s">
        <v>25</v>
      </c>
      <c r="B23" s="4">
        <f>IFERROR(IRR(B21:L21),NA())</f>
        <v>2.9475491668254357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1483.0007342105264</v>
      </c>
      <c r="D28" s="3">
        <f>$D$21</f>
        <v>1483.0007342105264</v>
      </c>
      <c r="E28" s="3">
        <f>$E$21</f>
        <v>1483.0007342105264</v>
      </c>
      <c r="F28" s="3">
        <f>$F$21</f>
        <v>1483.0007342105264</v>
      </c>
      <c r="G28" s="3">
        <f>$G$21</f>
        <v>-1516.9992657894736</v>
      </c>
      <c r="H28" s="3">
        <f>$H$21</f>
        <v>1483.0007342105264</v>
      </c>
      <c r="I28" s="3">
        <f>$I$21</f>
        <v>1483.0007342105264</v>
      </c>
      <c r="J28" s="3">
        <f>$J$21</f>
        <v>1483.0007342105264</v>
      </c>
      <c r="K28" s="3">
        <f>$K$21</f>
        <v>1483.0007342105264</v>
      </c>
      <c r="L28" s="3">
        <f>$L$21</f>
        <v>1483.0007342105264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1483.0007342105264</v>
      </c>
      <c r="D33" s="3">
        <f>$D$21</f>
        <v>1483.0007342105264</v>
      </c>
      <c r="E33" s="3">
        <f>$E$21</f>
        <v>1483.0007342105264</v>
      </c>
      <c r="F33" s="3">
        <f>$F$21</f>
        <v>1483.0007342105264</v>
      </c>
      <c r="G33" s="3">
        <f>$G$21</f>
        <v>-1516.9992657894736</v>
      </c>
      <c r="H33" s="3">
        <f>$H$21</f>
        <v>1483.0007342105264</v>
      </c>
      <c r="I33" s="3">
        <f>$I$21</f>
        <v>1483.0007342105264</v>
      </c>
      <c r="J33" s="3">
        <f>$J$21</f>
        <v>1483.0007342105264</v>
      </c>
      <c r="K33" s="3">
        <f>$K$21</f>
        <v>1483.0007342105264</v>
      </c>
      <c r="L33" s="3">
        <f>$L$21</f>
        <v>1483.0007342105264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1483.0007342105264</v>
      </c>
      <c r="D38" s="3">
        <f>$D$21</f>
        <v>1483.0007342105264</v>
      </c>
      <c r="E38" s="3">
        <f>$E$21</f>
        <v>1483.0007342105264</v>
      </c>
      <c r="F38" s="3">
        <f>$F$21</f>
        <v>1483.0007342105264</v>
      </c>
      <c r="G38" s="3">
        <f>$G$21</f>
        <v>-1516.9992657894736</v>
      </c>
      <c r="H38" s="3">
        <f>$H$21</f>
        <v>1483.0007342105264</v>
      </c>
      <c r="I38" s="3">
        <f>$I$21</f>
        <v>1483.0007342105264</v>
      </c>
      <c r="J38" s="3">
        <f>$J$21</f>
        <v>1483.0007342105264</v>
      </c>
      <c r="K38" s="3">
        <f>$K$21</f>
        <v>1483.0007342105264</v>
      </c>
      <c r="L38" s="3">
        <f>$L$21</f>
        <v>1483.0007342105264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1483.0007342105264</v>
      </c>
      <c r="D43" s="3">
        <f>$D$21</f>
        <v>1483.0007342105264</v>
      </c>
      <c r="E43" s="3">
        <f>$E$21</f>
        <v>1483.0007342105264</v>
      </c>
      <c r="F43" s="3">
        <f>$F$21</f>
        <v>1483.0007342105264</v>
      </c>
      <c r="G43" s="3">
        <f>$G$21</f>
        <v>-1516.9992657894736</v>
      </c>
      <c r="H43" s="3">
        <f>$H$21</f>
        <v>1483.0007342105264</v>
      </c>
      <c r="I43" s="3">
        <f>$I$21</f>
        <v>1483.0007342105264</v>
      </c>
      <c r="J43" s="3">
        <f>$J$21</f>
        <v>1483.0007342105264</v>
      </c>
      <c r="K43" s="3">
        <f>$K$21</f>
        <v>1483.0007342105264</v>
      </c>
      <c r="L43" s="3">
        <f>$L$21</f>
        <v>1483.0007342105264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1483.0007342105264</v>
      </c>
      <c r="D48" s="3">
        <f>$D$21</f>
        <v>1483.0007342105264</v>
      </c>
      <c r="E48" s="3">
        <f>$E$21</f>
        <v>1483.0007342105264</v>
      </c>
      <c r="F48" s="3">
        <f>$F$21</f>
        <v>1483.0007342105264</v>
      </c>
      <c r="G48" s="3">
        <f>$G$21</f>
        <v>-1516.9992657894736</v>
      </c>
      <c r="H48" s="3">
        <f>$H$21</f>
        <v>1483.0007342105264</v>
      </c>
      <c r="I48" s="3">
        <f>$I$21</f>
        <v>1483.0007342105264</v>
      </c>
      <c r="J48" s="3">
        <f>$J$21</f>
        <v>1483.0007342105264</v>
      </c>
      <c r="K48" s="3">
        <f>$K$21</f>
        <v>1483.0007342105264</v>
      </c>
      <c r="L48" s="3">
        <f>$L$21</f>
        <v>1483.0007342105264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1483.0007342105264</v>
      </c>
      <c r="D53" s="3">
        <f>$D$21</f>
        <v>1483.0007342105264</v>
      </c>
      <c r="E53" s="3">
        <f>$E$21</f>
        <v>1483.0007342105264</v>
      </c>
      <c r="F53" s="3">
        <f>$F$21</f>
        <v>1483.0007342105264</v>
      </c>
      <c r="G53" s="3">
        <f>$G$21</f>
        <v>-1516.9992657894736</v>
      </c>
      <c r="H53" s="3">
        <f>$H$21</f>
        <v>1483.0007342105264</v>
      </c>
      <c r="I53" s="3">
        <f>$I$21</f>
        <v>1483.0007342105264</v>
      </c>
      <c r="J53" s="3">
        <f>$J$21</f>
        <v>1483.0007342105264</v>
      </c>
      <c r="K53" s="3">
        <f>$K$21</f>
        <v>1483.0007342105264</v>
      </c>
      <c r="L53" s="3">
        <f>$L$21</f>
        <v>1483.0007342105264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1483.0007342105264</v>
      </c>
      <c r="D58" s="3">
        <f>$D$21</f>
        <v>1483.0007342105264</v>
      </c>
      <c r="E58" s="3">
        <f>$E$21</f>
        <v>1483.0007342105264</v>
      </c>
      <c r="F58" s="3">
        <f>$F$21</f>
        <v>1483.0007342105264</v>
      </c>
      <c r="G58" s="3">
        <f>$G$21</f>
        <v>-1516.9992657894736</v>
      </c>
      <c r="H58" s="3">
        <f>$H$21</f>
        <v>1483.0007342105264</v>
      </c>
      <c r="I58" s="3">
        <f>$I$21</f>
        <v>1483.0007342105264</v>
      </c>
      <c r="J58" s="3">
        <f>$J$21</f>
        <v>1483.0007342105264</v>
      </c>
      <c r="K58" s="3">
        <f>$K$21</f>
        <v>1483.0007342105264</v>
      </c>
      <c r="L58" s="3">
        <f>$L$21</f>
        <v>1483.0007342105264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1483.0007342105264</v>
      </c>
      <c r="D63" s="3">
        <f>$D$21</f>
        <v>1483.0007342105264</v>
      </c>
      <c r="E63" s="3">
        <f>$E$21</f>
        <v>1483.0007342105264</v>
      </c>
      <c r="F63" s="3">
        <f>$F$21</f>
        <v>1483.0007342105264</v>
      </c>
      <c r="G63" s="3">
        <f>$G$21</f>
        <v>-1516.9992657894736</v>
      </c>
      <c r="H63" s="3">
        <f>$H$21</f>
        <v>1483.0007342105264</v>
      </c>
      <c r="I63" s="3">
        <f>$I$21</f>
        <v>1483.0007342105264</v>
      </c>
      <c r="J63" s="3">
        <f>$J$21</f>
        <v>1483.0007342105264</v>
      </c>
      <c r="K63" s="3">
        <f>$K$21</f>
        <v>1483.0007342105264</v>
      </c>
      <c r="L63" s="3">
        <f>$L$21</f>
        <v>1483.0007342105264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1483.0007342105264</v>
      </c>
      <c r="D68" s="3">
        <f>$D$21</f>
        <v>1483.0007342105264</v>
      </c>
      <c r="E68" s="3">
        <f>$E$21</f>
        <v>1483.0007342105264</v>
      </c>
      <c r="F68" s="3">
        <f>$F$21</f>
        <v>1483.0007342105264</v>
      </c>
      <c r="G68" s="3">
        <f>$G$21</f>
        <v>-1516.9992657894736</v>
      </c>
      <c r="H68" s="3">
        <f>$H$21</f>
        <v>1483.0007342105264</v>
      </c>
      <c r="I68" s="3">
        <f>$I$21</f>
        <v>1483.0007342105264</v>
      </c>
      <c r="J68" s="3">
        <f>$J$21</f>
        <v>1483.0007342105264</v>
      </c>
      <c r="K68" s="3">
        <f>$K$21</f>
        <v>1483.0007342105264</v>
      </c>
      <c r="L68" s="3">
        <f>$L$21</f>
        <v>1483.0007342105264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1483.0007342105264</v>
      </c>
      <c r="D73" s="3">
        <f>$D$21</f>
        <v>1483.0007342105264</v>
      </c>
      <c r="E73" s="3">
        <f>$E$21</f>
        <v>1483.0007342105264</v>
      </c>
      <c r="F73" s="3">
        <f>$F$21</f>
        <v>1483.0007342105264</v>
      </c>
      <c r="G73" s="3">
        <f>$G$21</f>
        <v>-1516.9992657894736</v>
      </c>
      <c r="H73" s="3">
        <f>$H$21</f>
        <v>1483.0007342105264</v>
      </c>
      <c r="I73" s="3">
        <f>$I$21</f>
        <v>1483.0007342105264</v>
      </c>
      <c r="J73" s="3">
        <f>$J$21</f>
        <v>1483.0007342105264</v>
      </c>
      <c r="K73" s="3">
        <f>$K$21</f>
        <v>1483.0007342105264</v>
      </c>
      <c r="L73" s="3">
        <f>$L$21</f>
        <v>1483.0007342105264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1483.0007342105264</v>
      </c>
      <c r="D78" s="3">
        <f>$D$21</f>
        <v>1483.0007342105264</v>
      </c>
      <c r="E78" s="3">
        <f>$E$21</f>
        <v>1483.0007342105264</v>
      </c>
      <c r="F78" s="3">
        <f>$F$21</f>
        <v>1483.0007342105264</v>
      </c>
      <c r="G78" s="3">
        <f>$G$21</f>
        <v>-1516.9992657894736</v>
      </c>
      <c r="H78" s="3">
        <f>$H$21</f>
        <v>1483.0007342105264</v>
      </c>
      <c r="I78" s="3">
        <f>$I$21</f>
        <v>1483.0007342105264</v>
      </c>
      <c r="J78" s="3">
        <f>$J$21</f>
        <v>1483.0007342105264</v>
      </c>
      <c r="K78" s="3">
        <f>$K$21</f>
        <v>1483.0007342105264</v>
      </c>
      <c r="L78" s="3">
        <f>$L$21</f>
        <v>1483.0007342105264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1483.0007342105264</v>
      </c>
      <c r="D83" s="3">
        <f>$D$21</f>
        <v>1483.0007342105264</v>
      </c>
      <c r="E83" s="3">
        <f>$E$21</f>
        <v>1483.0007342105264</v>
      </c>
      <c r="F83" s="3">
        <f>$F$21</f>
        <v>1483.0007342105264</v>
      </c>
      <c r="G83" s="3">
        <f>$G$21</f>
        <v>-1516.9992657894736</v>
      </c>
      <c r="H83" s="3">
        <f>$H$21</f>
        <v>1483.0007342105264</v>
      </c>
      <c r="I83" s="3">
        <f>$I$21</f>
        <v>1483.0007342105264</v>
      </c>
      <c r="J83" s="3">
        <f>$J$21</f>
        <v>1483.0007342105264</v>
      </c>
      <c r="K83" s="3">
        <f>$K$21</f>
        <v>1483.0007342105264</v>
      </c>
      <c r="L83" s="3">
        <f>$L$21</f>
        <v>1483.0007342105264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1483.0007342105264</v>
      </c>
      <c r="D88" s="3">
        <f>$D$21</f>
        <v>1483.0007342105264</v>
      </c>
      <c r="E88" s="3">
        <f>$E$21</f>
        <v>1483.0007342105264</v>
      </c>
      <c r="F88" s="3">
        <f>$F$21</f>
        <v>1483.0007342105264</v>
      </c>
      <c r="G88" s="3">
        <f>$G$21</f>
        <v>-1516.9992657894736</v>
      </c>
      <c r="H88" s="3">
        <f>$H$21</f>
        <v>1483.0007342105264</v>
      </c>
      <c r="I88" s="3">
        <f>$I$21</f>
        <v>1483.0007342105264</v>
      </c>
      <c r="J88" s="3">
        <f>$J$21</f>
        <v>1483.0007342105264</v>
      </c>
      <c r="K88" s="3">
        <f>$K$21</f>
        <v>1483.0007342105264</v>
      </c>
      <c r="L88" s="3">
        <f>$L$21</f>
        <v>1483.0007342105264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1483.0007342105264</v>
      </c>
      <c r="D93" s="3">
        <f>$D$21</f>
        <v>1483.0007342105264</v>
      </c>
      <c r="E93" s="3">
        <f>$E$21</f>
        <v>1483.0007342105264</v>
      </c>
      <c r="F93" s="3">
        <f>$F$21</f>
        <v>1483.0007342105264</v>
      </c>
      <c r="G93" s="3">
        <f>$G$21</f>
        <v>-1516.9992657894736</v>
      </c>
      <c r="H93" s="3">
        <f>$H$21</f>
        <v>1483.0007342105264</v>
      </c>
      <c r="I93" s="3">
        <f>$I$21</f>
        <v>1483.0007342105264</v>
      </c>
      <c r="J93" s="3">
        <f>$J$21</f>
        <v>1483.0007342105264</v>
      </c>
      <c r="K93" s="3">
        <f>$K$21</f>
        <v>1483.0007342105264</v>
      </c>
      <c r="L93" s="3">
        <f>$L$21</f>
        <v>1483.0007342105264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1483.0007342105264</v>
      </c>
      <c r="D98" s="3">
        <f>$D$21</f>
        <v>1483.0007342105264</v>
      </c>
      <c r="E98" s="3">
        <f>$E$21</f>
        <v>1483.0007342105264</v>
      </c>
      <c r="F98" s="3">
        <f>$F$21</f>
        <v>1483.0007342105264</v>
      </c>
      <c r="G98" s="3">
        <f>$G$21</f>
        <v>-1516.9992657894736</v>
      </c>
      <c r="H98" s="3">
        <f>$H$21</f>
        <v>1483.0007342105264</v>
      </c>
      <c r="I98" s="3">
        <f>$I$21</f>
        <v>1483.0007342105264</v>
      </c>
      <c r="J98" s="3">
        <f>$J$21</f>
        <v>1483.0007342105264</v>
      </c>
      <c r="K98" s="3">
        <f>$K$21</f>
        <v>1483.0007342105264</v>
      </c>
      <c r="L98" s="3">
        <f>$L$21</f>
        <v>1483.0007342105264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1483.0007342105264</v>
      </c>
      <c r="D103" s="3">
        <f>$D$21</f>
        <v>1483.0007342105264</v>
      </c>
      <c r="E103" s="3">
        <f>$E$21</f>
        <v>1483.0007342105264</v>
      </c>
      <c r="F103" s="3">
        <f>$F$21</f>
        <v>1483.0007342105264</v>
      </c>
      <c r="G103" s="3">
        <f>$G$21</f>
        <v>-1516.9992657894736</v>
      </c>
      <c r="H103" s="3">
        <f>$H$21</f>
        <v>1483.0007342105264</v>
      </c>
      <c r="I103" s="3">
        <f>$I$21</f>
        <v>1483.0007342105264</v>
      </c>
      <c r="J103" s="3">
        <f>$J$21</f>
        <v>1483.0007342105264</v>
      </c>
      <c r="K103" s="3">
        <f>$K$21</f>
        <v>1483.0007342105264</v>
      </c>
      <c r="L103" s="3">
        <f>$L$21</f>
        <v>1483.0007342105264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1483.0007342105264</v>
      </c>
      <c r="D108" s="3">
        <f>$D$21</f>
        <v>1483.0007342105264</v>
      </c>
      <c r="E108" s="3">
        <f>$E$21</f>
        <v>1483.0007342105264</v>
      </c>
      <c r="F108" s="3">
        <f>$F$21</f>
        <v>1483.0007342105264</v>
      </c>
      <c r="G108" s="3">
        <f>$G$21</f>
        <v>-1516.9992657894736</v>
      </c>
      <c r="H108" s="3">
        <f>$H$21</f>
        <v>1483.0007342105264</v>
      </c>
      <c r="I108" s="3">
        <f>$I$21</f>
        <v>1483.0007342105264</v>
      </c>
      <c r="J108" s="3">
        <f>$J$21</f>
        <v>1483.0007342105264</v>
      </c>
      <c r="K108" s="3">
        <f>$K$21</f>
        <v>1483.0007342105264</v>
      </c>
      <c r="L108" s="3">
        <f>$L$21</f>
        <v>1483.0007342105264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1483.0007342105264</v>
      </c>
      <c r="D113" s="3">
        <f>$D$21</f>
        <v>1483.0007342105264</v>
      </c>
      <c r="E113" s="3">
        <f>$E$21</f>
        <v>1483.0007342105264</v>
      </c>
      <c r="F113" s="3">
        <f>$F$21</f>
        <v>1483.0007342105264</v>
      </c>
      <c r="G113" s="3">
        <f>$G$21</f>
        <v>-1516.9992657894736</v>
      </c>
      <c r="H113" s="3">
        <f>$H$21</f>
        <v>1483.0007342105264</v>
      </c>
      <c r="I113" s="3">
        <f>$I$21</f>
        <v>1483.0007342105264</v>
      </c>
      <c r="J113" s="3">
        <f>$J$21</f>
        <v>1483.0007342105264</v>
      </c>
      <c r="K113" s="3">
        <f>$K$21</f>
        <v>1483.0007342105264</v>
      </c>
      <c r="L113" s="3">
        <f>$L$21</f>
        <v>1483.0007342105264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1483.0007342105264</v>
      </c>
      <c r="D118" s="3">
        <f>$D$21</f>
        <v>1483.0007342105264</v>
      </c>
      <c r="E118" s="3">
        <f>$E$21</f>
        <v>1483.0007342105264</v>
      </c>
      <c r="F118" s="3">
        <f>$F$21</f>
        <v>1483.0007342105264</v>
      </c>
      <c r="G118" s="3">
        <f>$G$21</f>
        <v>-1516.9992657894736</v>
      </c>
      <c r="H118" s="3">
        <f>$H$21</f>
        <v>1483.0007342105264</v>
      </c>
      <c r="I118" s="3">
        <f>$I$21</f>
        <v>1483.0007342105264</v>
      </c>
      <c r="J118" s="3">
        <f>$J$21</f>
        <v>1483.0007342105264</v>
      </c>
      <c r="K118" s="3">
        <f>$K$21</f>
        <v>1483.0007342105264</v>
      </c>
      <c r="L118" s="3">
        <f>$L$21</f>
        <v>1483.0007342105264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9213-B429-4F46-82AF-2486D713C48E}">
  <dimension ref="A1:T126"/>
  <sheetViews>
    <sheetView topLeftCell="A3" workbookViewId="0">
      <selection activeCell="A17" sqref="A17:L18"/>
    </sheetView>
  </sheetViews>
  <sheetFormatPr defaultRowHeight="14.25"/>
  <cols>
    <col min="1" max="1" width="20" customWidth="1"/>
  </cols>
  <sheetData>
    <row r="1" spans="1:15">
      <c r="A1" s="1" t="s">
        <v>24</v>
      </c>
      <c r="B1" s="28">
        <v>0.17499999999999999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17200.260000000002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7740.1170000000011</v>
      </c>
      <c r="D7" s="2">
        <f>$B$3*'IRR inputs &amp; outputs'!$B$13</f>
        <v>7740.1170000000011</v>
      </c>
      <c r="E7" s="2">
        <f>$B$3*'IRR inputs &amp; outputs'!$B$13</f>
        <v>7740.1170000000011</v>
      </c>
      <c r="F7" s="2">
        <f>$B$3*'IRR inputs &amp; outputs'!$B$13</f>
        <v>7740.1170000000011</v>
      </c>
      <c r="G7" s="2">
        <f>$B$3*'IRR inputs &amp; outputs'!$B$13</f>
        <v>7740.1170000000011</v>
      </c>
      <c r="H7" s="2">
        <f>$B$3*'IRR inputs &amp; outputs'!$B$13</f>
        <v>7740.1170000000011</v>
      </c>
      <c r="I7" s="2">
        <f>$B$3*'IRR inputs &amp; outputs'!$B$13</f>
        <v>7740.1170000000011</v>
      </c>
      <c r="J7" s="2">
        <f>$B$3*'IRR inputs &amp; outputs'!$B$13</f>
        <v>7740.1170000000011</v>
      </c>
      <c r="K7" s="2">
        <f>$B$3*'IRR inputs &amp; outputs'!$B$13</f>
        <v>7740.1170000000011</v>
      </c>
      <c r="L7" s="2">
        <f>$B$3*'IRR inputs &amp; outputs'!$B$13</f>
        <v>7740.1170000000011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7740.1170000000011</v>
      </c>
      <c r="D9" s="2">
        <f t="shared" si="0"/>
        <v>7740.1170000000011</v>
      </c>
      <c r="E9" s="2">
        <f t="shared" si="0"/>
        <v>7740.1170000000011</v>
      </c>
      <c r="F9" s="2">
        <f t="shared" si="0"/>
        <v>7740.1170000000011</v>
      </c>
      <c r="G9" s="2">
        <f t="shared" si="0"/>
        <v>7740.1170000000011</v>
      </c>
      <c r="H9" s="2">
        <f t="shared" si="0"/>
        <v>7740.1170000000011</v>
      </c>
      <c r="I9" s="2">
        <f t="shared" si="0"/>
        <v>7740.1170000000011</v>
      </c>
      <c r="J9" s="2">
        <f t="shared" si="0"/>
        <v>7740.1170000000011</v>
      </c>
      <c r="K9" s="2">
        <f t="shared" si="0"/>
        <v>7740.1170000000011</v>
      </c>
      <c r="L9" s="2">
        <f t="shared" si="0"/>
        <v>7740.1170000000011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3621.1073684210528</v>
      </c>
      <c r="D16" s="2">
        <f>(1/'IRR inputs &amp; outputs'!$B$8)*$B$3*'IRR inputs &amp; outputs'!$B$9+'IRR inputs &amp; outputs'!$B$10</f>
        <v>3621.1073684210528</v>
      </c>
      <c r="E16" s="2">
        <f>(1/'IRR inputs &amp; outputs'!$B$8)*$B$3*'IRR inputs &amp; outputs'!$B$9+'IRR inputs &amp; outputs'!$B$10</f>
        <v>3621.1073684210528</v>
      </c>
      <c r="F16" s="2">
        <f>(1/'IRR inputs &amp; outputs'!$B$8)*$B$3*'IRR inputs &amp; outputs'!$B$9+'IRR inputs &amp; outputs'!$B$10</f>
        <v>3621.1073684210528</v>
      </c>
      <c r="G16" s="2">
        <f>(1/'IRR inputs &amp; outputs'!$B$8)*$B$3*'IRR inputs &amp; outputs'!$B$9+'IRR inputs &amp; outputs'!$B$10</f>
        <v>3621.1073684210528</v>
      </c>
      <c r="H16" s="2">
        <f>(1/'IRR inputs &amp; outputs'!$B$8)*$B$3*'IRR inputs &amp; outputs'!$B$9+'IRR inputs &amp; outputs'!$B$10</f>
        <v>3621.1073684210528</v>
      </c>
      <c r="I16" s="2">
        <f>(1/'IRR inputs &amp; outputs'!$B$8)*$B$3*'IRR inputs &amp; outputs'!$B$9+'IRR inputs &amp; outputs'!$B$10</f>
        <v>3621.1073684210528</v>
      </c>
      <c r="J16" s="2">
        <f>(1/'IRR inputs &amp; outputs'!$B$8)*$B$3*'IRR inputs &amp; outputs'!$B$9+'IRR inputs &amp; outputs'!$B$10</f>
        <v>3621.1073684210528</v>
      </c>
      <c r="K16" s="2">
        <f>(1/'IRR inputs &amp; outputs'!$B$8)*$B$3*'IRR inputs &amp; outputs'!$B$9+'IRR inputs &amp; outputs'!$B$10</f>
        <v>3621.1073684210528</v>
      </c>
      <c r="L16" s="2">
        <f>(1/'IRR inputs &amp; outputs'!$B$8)*$B$3*'IRR inputs &amp; outputs'!$B$9+'IRR inputs &amp; outputs'!$B$10</f>
        <v>3621.1073684210528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580.50877500000001</v>
      </c>
      <c r="D18" s="2">
        <f>$B$3*'IRR inputs &amp; outputs'!$B$11*'IRR inputs &amp; outputs'!$B$13</f>
        <v>580.50877500000001</v>
      </c>
      <c r="E18" s="2">
        <f>$B$3*'IRR inputs &amp; outputs'!$B$11*'IRR inputs &amp; outputs'!$B$13</f>
        <v>580.50877500000001</v>
      </c>
      <c r="F18" s="2">
        <f>$B$3*'IRR inputs &amp; outputs'!$B$11*'IRR inputs &amp; outputs'!$B$13</f>
        <v>580.50877500000001</v>
      </c>
      <c r="G18" s="2">
        <f>$B$3*'IRR inputs &amp; outputs'!$B$11*'IRR inputs &amp; outputs'!$B$13</f>
        <v>580.50877500000001</v>
      </c>
      <c r="H18" s="2">
        <f>$B$3*'IRR inputs &amp; outputs'!$B$11*'IRR inputs &amp; outputs'!$B$13</f>
        <v>580.50877500000001</v>
      </c>
      <c r="I18" s="2">
        <f>$B$3*'IRR inputs &amp; outputs'!$B$11*'IRR inputs &amp; outputs'!$B$13</f>
        <v>580.50877500000001</v>
      </c>
      <c r="J18" s="2">
        <f>$B$3*'IRR inputs &amp; outputs'!$B$11*'IRR inputs &amp; outputs'!$B$13</f>
        <v>580.50877500000001</v>
      </c>
      <c r="K18" s="2">
        <f>$B$3*'IRR inputs &amp; outputs'!$B$11*'IRR inputs &amp; outputs'!$B$13</f>
        <v>580.50877500000001</v>
      </c>
      <c r="L18" s="2">
        <f>$B$3*'IRR inputs &amp; outputs'!$B$11*'IRR inputs &amp; outputs'!$B$13</f>
        <v>580.50877500000001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5751.6161434210535</v>
      </c>
      <c r="D19" s="3">
        <f t="shared" si="1"/>
        <v>5751.6161434210535</v>
      </c>
      <c r="E19" s="3">
        <f t="shared" si="1"/>
        <v>5751.6161434210535</v>
      </c>
      <c r="F19" s="3">
        <f t="shared" si="1"/>
        <v>5751.6161434210535</v>
      </c>
      <c r="G19" s="3">
        <f t="shared" si="1"/>
        <v>8751.6161434210535</v>
      </c>
      <c r="H19" s="3">
        <f t="shared" si="1"/>
        <v>5751.6161434210535</v>
      </c>
      <c r="I19" s="3">
        <f t="shared" si="1"/>
        <v>5751.6161434210535</v>
      </c>
      <c r="J19" s="3">
        <f t="shared" si="1"/>
        <v>5751.6161434210535</v>
      </c>
      <c r="K19" s="3">
        <f t="shared" si="1"/>
        <v>5751.6161434210535</v>
      </c>
      <c r="L19" s="3">
        <f t="shared" si="1"/>
        <v>5751.6161434210535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1988.5008565789476</v>
      </c>
      <c r="D21" s="3">
        <f t="shared" si="2"/>
        <v>1988.5008565789476</v>
      </c>
      <c r="E21" s="3">
        <f t="shared" si="2"/>
        <v>1988.5008565789476</v>
      </c>
      <c r="F21" s="3">
        <f t="shared" si="2"/>
        <v>1988.5008565789476</v>
      </c>
      <c r="G21" s="3">
        <f t="shared" si="2"/>
        <v>-1011.4991434210524</v>
      </c>
      <c r="H21" s="3">
        <f t="shared" si="2"/>
        <v>1988.5008565789476</v>
      </c>
      <c r="I21" s="3">
        <f t="shared" si="2"/>
        <v>1988.5008565789476</v>
      </c>
      <c r="J21" s="3">
        <f t="shared" si="2"/>
        <v>1988.5008565789476</v>
      </c>
      <c r="K21" s="3">
        <f t="shared" si="2"/>
        <v>1988.5008565789476</v>
      </c>
      <c r="L21" s="3">
        <f t="shared" si="2"/>
        <v>1988.5008565789476</v>
      </c>
    </row>
    <row r="23" spans="1:12">
      <c r="A23" t="s">
        <v>25</v>
      </c>
      <c r="B23" s="4">
        <f>IFERROR(IRR(B21:L21),NA())</f>
        <v>3.9691409423646942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1988.5008565789476</v>
      </c>
      <c r="D28" s="3">
        <f>$D$21</f>
        <v>1988.5008565789476</v>
      </c>
      <c r="E28" s="3">
        <f>$E$21</f>
        <v>1988.5008565789476</v>
      </c>
      <c r="F28" s="3">
        <f>$F$21</f>
        <v>1988.5008565789476</v>
      </c>
      <c r="G28" s="3">
        <f>$G$21</f>
        <v>-1011.4991434210524</v>
      </c>
      <c r="H28" s="3">
        <f>$H$21</f>
        <v>1988.5008565789476</v>
      </c>
      <c r="I28" s="3">
        <f>$I$21</f>
        <v>1988.5008565789476</v>
      </c>
      <c r="J28" s="3">
        <f>$J$21</f>
        <v>1988.5008565789476</v>
      </c>
      <c r="K28" s="3">
        <f>$K$21</f>
        <v>1988.5008565789476</v>
      </c>
      <c r="L28" s="3">
        <f>$L$21</f>
        <v>1988.5008565789476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1988.5008565789476</v>
      </c>
      <c r="D33" s="3">
        <f>$D$21</f>
        <v>1988.5008565789476</v>
      </c>
      <c r="E33" s="3">
        <f>$E$21</f>
        <v>1988.5008565789476</v>
      </c>
      <c r="F33" s="3">
        <f>$F$21</f>
        <v>1988.5008565789476</v>
      </c>
      <c r="G33" s="3">
        <f>$G$21</f>
        <v>-1011.4991434210524</v>
      </c>
      <c r="H33" s="3">
        <f>$H$21</f>
        <v>1988.5008565789476</v>
      </c>
      <c r="I33" s="3">
        <f>$I$21</f>
        <v>1988.5008565789476</v>
      </c>
      <c r="J33" s="3">
        <f>$J$21</f>
        <v>1988.5008565789476</v>
      </c>
      <c r="K33" s="3">
        <f>$K$21</f>
        <v>1988.5008565789476</v>
      </c>
      <c r="L33" s="3">
        <f>$L$21</f>
        <v>1988.5008565789476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1988.5008565789476</v>
      </c>
      <c r="D38" s="3">
        <f>$D$21</f>
        <v>1988.5008565789476</v>
      </c>
      <c r="E38" s="3">
        <f>$E$21</f>
        <v>1988.5008565789476</v>
      </c>
      <c r="F38" s="3">
        <f>$F$21</f>
        <v>1988.5008565789476</v>
      </c>
      <c r="G38" s="3">
        <f>$G$21</f>
        <v>-1011.4991434210524</v>
      </c>
      <c r="H38" s="3">
        <f>$H$21</f>
        <v>1988.5008565789476</v>
      </c>
      <c r="I38" s="3">
        <f>$I$21</f>
        <v>1988.5008565789476</v>
      </c>
      <c r="J38" s="3">
        <f>$J$21</f>
        <v>1988.5008565789476</v>
      </c>
      <c r="K38" s="3">
        <f>$K$21</f>
        <v>1988.5008565789476</v>
      </c>
      <c r="L38" s="3">
        <f>$L$21</f>
        <v>1988.5008565789476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1988.5008565789476</v>
      </c>
      <c r="D43" s="3">
        <f>$D$21</f>
        <v>1988.5008565789476</v>
      </c>
      <c r="E43" s="3">
        <f>$E$21</f>
        <v>1988.5008565789476</v>
      </c>
      <c r="F43" s="3">
        <f>$F$21</f>
        <v>1988.5008565789476</v>
      </c>
      <c r="G43" s="3">
        <f>$G$21</f>
        <v>-1011.4991434210524</v>
      </c>
      <c r="H43" s="3">
        <f>$H$21</f>
        <v>1988.5008565789476</v>
      </c>
      <c r="I43" s="3">
        <f>$I$21</f>
        <v>1988.5008565789476</v>
      </c>
      <c r="J43" s="3">
        <f>$J$21</f>
        <v>1988.5008565789476</v>
      </c>
      <c r="K43" s="3">
        <f>$K$21</f>
        <v>1988.5008565789476</v>
      </c>
      <c r="L43" s="3">
        <f>$L$21</f>
        <v>1988.5008565789476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1988.5008565789476</v>
      </c>
      <c r="D48" s="3">
        <f>$D$21</f>
        <v>1988.5008565789476</v>
      </c>
      <c r="E48" s="3">
        <f>$E$21</f>
        <v>1988.5008565789476</v>
      </c>
      <c r="F48" s="3">
        <f>$F$21</f>
        <v>1988.5008565789476</v>
      </c>
      <c r="G48" s="3">
        <f>$G$21</f>
        <v>-1011.4991434210524</v>
      </c>
      <c r="H48" s="3">
        <f>$H$21</f>
        <v>1988.5008565789476</v>
      </c>
      <c r="I48" s="3">
        <f>$I$21</f>
        <v>1988.5008565789476</v>
      </c>
      <c r="J48" s="3">
        <f>$J$21</f>
        <v>1988.5008565789476</v>
      </c>
      <c r="K48" s="3">
        <f>$K$21</f>
        <v>1988.5008565789476</v>
      </c>
      <c r="L48" s="3">
        <f>$L$21</f>
        <v>1988.5008565789476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1988.5008565789476</v>
      </c>
      <c r="D53" s="3">
        <f>$D$21</f>
        <v>1988.5008565789476</v>
      </c>
      <c r="E53" s="3">
        <f>$E$21</f>
        <v>1988.5008565789476</v>
      </c>
      <c r="F53" s="3">
        <f>$F$21</f>
        <v>1988.5008565789476</v>
      </c>
      <c r="G53" s="3">
        <f>$G$21</f>
        <v>-1011.4991434210524</v>
      </c>
      <c r="H53" s="3">
        <f>$H$21</f>
        <v>1988.5008565789476</v>
      </c>
      <c r="I53" s="3">
        <f>$I$21</f>
        <v>1988.5008565789476</v>
      </c>
      <c r="J53" s="3">
        <f>$J$21</f>
        <v>1988.5008565789476</v>
      </c>
      <c r="K53" s="3">
        <f>$K$21</f>
        <v>1988.5008565789476</v>
      </c>
      <c r="L53" s="3">
        <f>$L$21</f>
        <v>1988.5008565789476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1988.5008565789476</v>
      </c>
      <c r="D58" s="3">
        <f>$D$21</f>
        <v>1988.5008565789476</v>
      </c>
      <c r="E58" s="3">
        <f>$E$21</f>
        <v>1988.5008565789476</v>
      </c>
      <c r="F58" s="3">
        <f>$F$21</f>
        <v>1988.5008565789476</v>
      </c>
      <c r="G58" s="3">
        <f>$G$21</f>
        <v>-1011.4991434210524</v>
      </c>
      <c r="H58" s="3">
        <f>$H$21</f>
        <v>1988.5008565789476</v>
      </c>
      <c r="I58" s="3">
        <f>$I$21</f>
        <v>1988.5008565789476</v>
      </c>
      <c r="J58" s="3">
        <f>$J$21</f>
        <v>1988.5008565789476</v>
      </c>
      <c r="K58" s="3">
        <f>$K$21</f>
        <v>1988.5008565789476</v>
      </c>
      <c r="L58" s="3">
        <f>$L$21</f>
        <v>1988.5008565789476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1988.5008565789476</v>
      </c>
      <c r="D63" s="3">
        <f>$D$21</f>
        <v>1988.5008565789476</v>
      </c>
      <c r="E63" s="3">
        <f>$E$21</f>
        <v>1988.5008565789476</v>
      </c>
      <c r="F63" s="3">
        <f>$F$21</f>
        <v>1988.5008565789476</v>
      </c>
      <c r="G63" s="3">
        <f>$G$21</f>
        <v>-1011.4991434210524</v>
      </c>
      <c r="H63" s="3">
        <f>$H$21</f>
        <v>1988.5008565789476</v>
      </c>
      <c r="I63" s="3">
        <f>$I$21</f>
        <v>1988.5008565789476</v>
      </c>
      <c r="J63" s="3">
        <f>$J$21</f>
        <v>1988.5008565789476</v>
      </c>
      <c r="K63" s="3">
        <f>$K$21</f>
        <v>1988.5008565789476</v>
      </c>
      <c r="L63" s="3">
        <f>$L$21</f>
        <v>1988.5008565789476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1988.5008565789476</v>
      </c>
      <c r="D68" s="3">
        <f>$D$21</f>
        <v>1988.5008565789476</v>
      </c>
      <c r="E68" s="3">
        <f>$E$21</f>
        <v>1988.5008565789476</v>
      </c>
      <c r="F68" s="3">
        <f>$F$21</f>
        <v>1988.5008565789476</v>
      </c>
      <c r="G68" s="3">
        <f>$G$21</f>
        <v>-1011.4991434210524</v>
      </c>
      <c r="H68" s="3">
        <f>$H$21</f>
        <v>1988.5008565789476</v>
      </c>
      <c r="I68" s="3">
        <f>$I$21</f>
        <v>1988.5008565789476</v>
      </c>
      <c r="J68" s="3">
        <f>$J$21</f>
        <v>1988.5008565789476</v>
      </c>
      <c r="K68" s="3">
        <f>$K$21</f>
        <v>1988.5008565789476</v>
      </c>
      <c r="L68" s="3">
        <f>$L$21</f>
        <v>1988.5008565789476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1988.5008565789476</v>
      </c>
      <c r="D73" s="3">
        <f>$D$21</f>
        <v>1988.5008565789476</v>
      </c>
      <c r="E73" s="3">
        <f>$E$21</f>
        <v>1988.5008565789476</v>
      </c>
      <c r="F73" s="3">
        <f>$F$21</f>
        <v>1988.5008565789476</v>
      </c>
      <c r="G73" s="3">
        <f>$G$21</f>
        <v>-1011.4991434210524</v>
      </c>
      <c r="H73" s="3">
        <f>$H$21</f>
        <v>1988.5008565789476</v>
      </c>
      <c r="I73" s="3">
        <f>$I$21</f>
        <v>1988.5008565789476</v>
      </c>
      <c r="J73" s="3">
        <f>$J$21</f>
        <v>1988.5008565789476</v>
      </c>
      <c r="K73" s="3">
        <f>$K$21</f>
        <v>1988.5008565789476</v>
      </c>
      <c r="L73" s="3">
        <f>$L$21</f>
        <v>1988.5008565789476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1988.5008565789476</v>
      </c>
      <c r="D78" s="3">
        <f>$D$21</f>
        <v>1988.5008565789476</v>
      </c>
      <c r="E78" s="3">
        <f>$E$21</f>
        <v>1988.5008565789476</v>
      </c>
      <c r="F78" s="3">
        <f>$F$21</f>
        <v>1988.5008565789476</v>
      </c>
      <c r="G78" s="3">
        <f>$G$21</f>
        <v>-1011.4991434210524</v>
      </c>
      <c r="H78" s="3">
        <f>$H$21</f>
        <v>1988.5008565789476</v>
      </c>
      <c r="I78" s="3">
        <f>$I$21</f>
        <v>1988.5008565789476</v>
      </c>
      <c r="J78" s="3">
        <f>$J$21</f>
        <v>1988.5008565789476</v>
      </c>
      <c r="K78" s="3">
        <f>$K$21</f>
        <v>1988.5008565789476</v>
      </c>
      <c r="L78" s="3">
        <f>$L$21</f>
        <v>1988.5008565789476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1988.5008565789476</v>
      </c>
      <c r="D83" s="3">
        <f>$D$21</f>
        <v>1988.5008565789476</v>
      </c>
      <c r="E83" s="3">
        <f>$E$21</f>
        <v>1988.5008565789476</v>
      </c>
      <c r="F83" s="3">
        <f>$F$21</f>
        <v>1988.5008565789476</v>
      </c>
      <c r="G83" s="3">
        <f>$G$21</f>
        <v>-1011.4991434210524</v>
      </c>
      <c r="H83" s="3">
        <f>$H$21</f>
        <v>1988.5008565789476</v>
      </c>
      <c r="I83" s="3">
        <f>$I$21</f>
        <v>1988.5008565789476</v>
      </c>
      <c r="J83" s="3">
        <f>$J$21</f>
        <v>1988.5008565789476</v>
      </c>
      <c r="K83" s="3">
        <f>$K$21</f>
        <v>1988.5008565789476</v>
      </c>
      <c r="L83" s="3">
        <f>$L$21</f>
        <v>1988.5008565789476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1988.5008565789476</v>
      </c>
      <c r="D88" s="3">
        <f>$D$21</f>
        <v>1988.5008565789476</v>
      </c>
      <c r="E88" s="3">
        <f>$E$21</f>
        <v>1988.5008565789476</v>
      </c>
      <c r="F88" s="3">
        <f>$F$21</f>
        <v>1988.5008565789476</v>
      </c>
      <c r="G88" s="3">
        <f>$G$21</f>
        <v>-1011.4991434210524</v>
      </c>
      <c r="H88" s="3">
        <f>$H$21</f>
        <v>1988.5008565789476</v>
      </c>
      <c r="I88" s="3">
        <f>$I$21</f>
        <v>1988.5008565789476</v>
      </c>
      <c r="J88" s="3">
        <f>$J$21</f>
        <v>1988.5008565789476</v>
      </c>
      <c r="K88" s="3">
        <f>$K$21</f>
        <v>1988.5008565789476</v>
      </c>
      <c r="L88" s="3">
        <f>$L$21</f>
        <v>1988.5008565789476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1988.5008565789476</v>
      </c>
      <c r="D93" s="3">
        <f>$D$21</f>
        <v>1988.5008565789476</v>
      </c>
      <c r="E93" s="3">
        <f>$E$21</f>
        <v>1988.5008565789476</v>
      </c>
      <c r="F93" s="3">
        <f>$F$21</f>
        <v>1988.5008565789476</v>
      </c>
      <c r="G93" s="3">
        <f>$G$21</f>
        <v>-1011.4991434210524</v>
      </c>
      <c r="H93" s="3">
        <f>$H$21</f>
        <v>1988.5008565789476</v>
      </c>
      <c r="I93" s="3">
        <f>$I$21</f>
        <v>1988.5008565789476</v>
      </c>
      <c r="J93" s="3">
        <f>$J$21</f>
        <v>1988.5008565789476</v>
      </c>
      <c r="K93" s="3">
        <f>$K$21</f>
        <v>1988.5008565789476</v>
      </c>
      <c r="L93" s="3">
        <f>$L$21</f>
        <v>1988.5008565789476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1988.5008565789476</v>
      </c>
      <c r="D98" s="3">
        <f>$D$21</f>
        <v>1988.5008565789476</v>
      </c>
      <c r="E98" s="3">
        <f>$E$21</f>
        <v>1988.5008565789476</v>
      </c>
      <c r="F98" s="3">
        <f>$F$21</f>
        <v>1988.5008565789476</v>
      </c>
      <c r="G98" s="3">
        <f>$G$21</f>
        <v>-1011.4991434210524</v>
      </c>
      <c r="H98" s="3">
        <f>$H$21</f>
        <v>1988.5008565789476</v>
      </c>
      <c r="I98" s="3">
        <f>$I$21</f>
        <v>1988.5008565789476</v>
      </c>
      <c r="J98" s="3">
        <f>$J$21</f>
        <v>1988.5008565789476</v>
      </c>
      <c r="K98" s="3">
        <f>$K$21</f>
        <v>1988.5008565789476</v>
      </c>
      <c r="L98" s="3">
        <f>$L$21</f>
        <v>1988.5008565789476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1988.5008565789476</v>
      </c>
      <c r="D103" s="3">
        <f>$D$21</f>
        <v>1988.5008565789476</v>
      </c>
      <c r="E103" s="3">
        <f>$E$21</f>
        <v>1988.5008565789476</v>
      </c>
      <c r="F103" s="3">
        <f>$F$21</f>
        <v>1988.5008565789476</v>
      </c>
      <c r="G103" s="3">
        <f>$G$21</f>
        <v>-1011.4991434210524</v>
      </c>
      <c r="H103" s="3">
        <f>$H$21</f>
        <v>1988.5008565789476</v>
      </c>
      <c r="I103" s="3">
        <f>$I$21</f>
        <v>1988.5008565789476</v>
      </c>
      <c r="J103" s="3">
        <f>$J$21</f>
        <v>1988.5008565789476</v>
      </c>
      <c r="K103" s="3">
        <f>$K$21</f>
        <v>1988.5008565789476</v>
      </c>
      <c r="L103" s="3">
        <f>$L$21</f>
        <v>1988.5008565789476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1988.5008565789476</v>
      </c>
      <c r="D108" s="3">
        <f>$D$21</f>
        <v>1988.5008565789476</v>
      </c>
      <c r="E108" s="3">
        <f>$E$21</f>
        <v>1988.5008565789476</v>
      </c>
      <c r="F108" s="3">
        <f>$F$21</f>
        <v>1988.5008565789476</v>
      </c>
      <c r="G108" s="3">
        <f>$G$21</f>
        <v>-1011.4991434210524</v>
      </c>
      <c r="H108" s="3">
        <f>$H$21</f>
        <v>1988.5008565789476</v>
      </c>
      <c r="I108" s="3">
        <f>$I$21</f>
        <v>1988.5008565789476</v>
      </c>
      <c r="J108" s="3">
        <f>$J$21</f>
        <v>1988.5008565789476</v>
      </c>
      <c r="K108" s="3">
        <f>$K$21</f>
        <v>1988.5008565789476</v>
      </c>
      <c r="L108" s="3">
        <f>$L$21</f>
        <v>1988.5008565789476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1988.5008565789476</v>
      </c>
      <c r="D113" s="3">
        <f>$D$21</f>
        <v>1988.5008565789476</v>
      </c>
      <c r="E113" s="3">
        <f>$E$21</f>
        <v>1988.5008565789476</v>
      </c>
      <c r="F113" s="3">
        <f>$F$21</f>
        <v>1988.5008565789476</v>
      </c>
      <c r="G113" s="3">
        <f>$G$21</f>
        <v>-1011.4991434210524</v>
      </c>
      <c r="H113" s="3">
        <f>$H$21</f>
        <v>1988.5008565789476</v>
      </c>
      <c r="I113" s="3">
        <f>$I$21</f>
        <v>1988.5008565789476</v>
      </c>
      <c r="J113" s="3">
        <f>$J$21</f>
        <v>1988.5008565789476</v>
      </c>
      <c r="K113" s="3">
        <f>$K$21</f>
        <v>1988.5008565789476</v>
      </c>
      <c r="L113" s="3">
        <f>$L$21</f>
        <v>1988.5008565789476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1988.5008565789476</v>
      </c>
      <c r="D118" s="3">
        <f>$D$21</f>
        <v>1988.5008565789476</v>
      </c>
      <c r="E118" s="3">
        <f>$E$21</f>
        <v>1988.5008565789476</v>
      </c>
      <c r="F118" s="3">
        <f>$F$21</f>
        <v>1988.5008565789476</v>
      </c>
      <c r="G118" s="3">
        <f>$G$21</f>
        <v>-1011.4991434210524</v>
      </c>
      <c r="H118" s="3">
        <f>$H$21</f>
        <v>1988.5008565789476</v>
      </c>
      <c r="I118" s="3">
        <f>$I$21</f>
        <v>1988.5008565789476</v>
      </c>
      <c r="J118" s="3">
        <f>$J$21</f>
        <v>1988.5008565789476</v>
      </c>
      <c r="K118" s="3">
        <f>$K$21</f>
        <v>1988.5008565789476</v>
      </c>
      <c r="L118" s="3">
        <f>$L$21</f>
        <v>1988.5008565789476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54EE-2839-493A-9F96-E3544936A987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  <col min="2" max="2" width="13.85546875" customWidth="1"/>
  </cols>
  <sheetData>
    <row r="1" spans="1:15">
      <c r="A1" s="1" t="s">
        <v>24</v>
      </c>
      <c r="B1" s="5">
        <v>0.2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19657.439999999999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8845.848</v>
      </c>
      <c r="D7" s="2">
        <f>$B$3*'IRR inputs &amp; outputs'!$B$13</f>
        <v>8845.848</v>
      </c>
      <c r="E7" s="2">
        <f>$B$3*'IRR inputs &amp; outputs'!$B$13</f>
        <v>8845.848</v>
      </c>
      <c r="F7" s="2">
        <f>$B$3*'IRR inputs &amp; outputs'!$B$13</f>
        <v>8845.848</v>
      </c>
      <c r="G7" s="2">
        <f>$B$3*'IRR inputs &amp; outputs'!$B$13</f>
        <v>8845.848</v>
      </c>
      <c r="H7" s="2">
        <f>$B$3*'IRR inputs &amp; outputs'!$B$13</f>
        <v>8845.848</v>
      </c>
      <c r="I7" s="2">
        <f>$B$3*'IRR inputs &amp; outputs'!$B$13</f>
        <v>8845.848</v>
      </c>
      <c r="J7" s="2">
        <f>$B$3*'IRR inputs &amp; outputs'!$B$13</f>
        <v>8845.848</v>
      </c>
      <c r="K7" s="2">
        <f>$B$3*'IRR inputs &amp; outputs'!$B$13</f>
        <v>8845.848</v>
      </c>
      <c r="L7" s="2">
        <f>$B$3*'IRR inputs &amp; outputs'!$B$13</f>
        <v>8845.848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8845.848</v>
      </c>
      <c r="D9" s="2">
        <f t="shared" si="0"/>
        <v>8845.848</v>
      </c>
      <c r="E9" s="2">
        <f t="shared" si="0"/>
        <v>8845.848</v>
      </c>
      <c r="F9" s="2">
        <f t="shared" si="0"/>
        <v>8845.848</v>
      </c>
      <c r="G9" s="2">
        <f t="shared" si="0"/>
        <v>8845.848</v>
      </c>
      <c r="H9" s="2">
        <f t="shared" si="0"/>
        <v>8845.848</v>
      </c>
      <c r="I9" s="2">
        <f t="shared" si="0"/>
        <v>8845.848</v>
      </c>
      <c r="J9" s="2">
        <f t="shared" si="0"/>
        <v>8845.848</v>
      </c>
      <c r="K9" s="2">
        <f t="shared" si="0"/>
        <v>8845.848</v>
      </c>
      <c r="L9" s="2">
        <f t="shared" si="0"/>
        <v>8845.848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4138.4084210526307</v>
      </c>
      <c r="D16" s="2">
        <f>(1/'IRR inputs &amp; outputs'!$B$8)*$B$3*'IRR inputs &amp; outputs'!$B$9+'IRR inputs &amp; outputs'!$B$10</f>
        <v>4138.4084210526307</v>
      </c>
      <c r="E16" s="2">
        <f>(1/'IRR inputs &amp; outputs'!$B$8)*$B$3*'IRR inputs &amp; outputs'!$B$9+'IRR inputs &amp; outputs'!$B$10</f>
        <v>4138.4084210526307</v>
      </c>
      <c r="F16" s="2">
        <f>(1/'IRR inputs &amp; outputs'!$B$8)*$B$3*'IRR inputs &amp; outputs'!$B$9+'IRR inputs &amp; outputs'!$B$10</f>
        <v>4138.4084210526307</v>
      </c>
      <c r="G16" s="2">
        <f>(1/'IRR inputs &amp; outputs'!$B$8)*$B$3*'IRR inputs &amp; outputs'!$B$9+'IRR inputs &amp; outputs'!$B$10</f>
        <v>4138.4084210526307</v>
      </c>
      <c r="H16" s="2">
        <f>(1/'IRR inputs &amp; outputs'!$B$8)*$B$3*'IRR inputs &amp; outputs'!$B$9+'IRR inputs &amp; outputs'!$B$10</f>
        <v>4138.4084210526307</v>
      </c>
      <c r="I16" s="2">
        <f>(1/'IRR inputs &amp; outputs'!$B$8)*$B$3*'IRR inputs &amp; outputs'!$B$9+'IRR inputs &amp; outputs'!$B$10</f>
        <v>4138.4084210526307</v>
      </c>
      <c r="J16" s="2">
        <f>(1/'IRR inputs &amp; outputs'!$B$8)*$B$3*'IRR inputs &amp; outputs'!$B$9+'IRR inputs &amp; outputs'!$B$10</f>
        <v>4138.4084210526307</v>
      </c>
      <c r="K16" s="2">
        <f>(1/'IRR inputs &amp; outputs'!$B$8)*$B$3*'IRR inputs &amp; outputs'!$B$9+'IRR inputs &amp; outputs'!$B$10</f>
        <v>4138.4084210526307</v>
      </c>
      <c r="L16" s="2">
        <f>(1/'IRR inputs &amp; outputs'!$B$8)*$B$3*'IRR inputs &amp; outputs'!$B$9+'IRR inputs &amp; outputs'!$B$10</f>
        <v>4138.4084210526307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663.43859999999995</v>
      </c>
      <c r="D18" s="2">
        <f>$B$3*'IRR inputs &amp; outputs'!$B$11*'IRR inputs &amp; outputs'!$B$13</f>
        <v>663.43859999999995</v>
      </c>
      <c r="E18" s="2">
        <f>$B$3*'IRR inputs &amp; outputs'!$B$11*'IRR inputs &amp; outputs'!$B$13</f>
        <v>663.43859999999995</v>
      </c>
      <c r="F18" s="2">
        <f>$B$3*'IRR inputs &amp; outputs'!$B$11*'IRR inputs &amp; outputs'!$B$13</f>
        <v>663.43859999999995</v>
      </c>
      <c r="G18" s="2">
        <f>$B$3*'IRR inputs &amp; outputs'!$B$11*'IRR inputs &amp; outputs'!$B$13</f>
        <v>663.43859999999995</v>
      </c>
      <c r="H18" s="2">
        <f>$B$3*'IRR inputs &amp; outputs'!$B$11*'IRR inputs &amp; outputs'!$B$13</f>
        <v>663.43859999999995</v>
      </c>
      <c r="I18" s="2">
        <f>$B$3*'IRR inputs &amp; outputs'!$B$11*'IRR inputs &amp; outputs'!$B$13</f>
        <v>663.43859999999995</v>
      </c>
      <c r="J18" s="2">
        <f>$B$3*'IRR inputs &amp; outputs'!$B$11*'IRR inputs &amp; outputs'!$B$13</f>
        <v>663.43859999999995</v>
      </c>
      <c r="K18" s="2">
        <f>$B$3*'IRR inputs &amp; outputs'!$B$11*'IRR inputs &amp; outputs'!$B$13</f>
        <v>663.43859999999995</v>
      </c>
      <c r="L18" s="2">
        <f>$B$3*'IRR inputs &amp; outputs'!$B$11*'IRR inputs &amp; outputs'!$B$13</f>
        <v>663.43859999999995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6351.8470210526302</v>
      </c>
      <c r="D19" s="3">
        <f t="shared" si="1"/>
        <v>6351.8470210526302</v>
      </c>
      <c r="E19" s="3">
        <f t="shared" si="1"/>
        <v>6351.8470210526302</v>
      </c>
      <c r="F19" s="3">
        <f t="shared" si="1"/>
        <v>6351.8470210526302</v>
      </c>
      <c r="G19" s="3">
        <f t="shared" si="1"/>
        <v>9351.8470210526302</v>
      </c>
      <c r="H19" s="3">
        <f t="shared" si="1"/>
        <v>6351.8470210526302</v>
      </c>
      <c r="I19" s="3">
        <f t="shared" si="1"/>
        <v>6351.8470210526302</v>
      </c>
      <c r="J19" s="3">
        <f t="shared" si="1"/>
        <v>6351.8470210526302</v>
      </c>
      <c r="K19" s="3">
        <f t="shared" si="1"/>
        <v>6351.8470210526302</v>
      </c>
      <c r="L19" s="3">
        <f t="shared" si="1"/>
        <v>6351.8470210526302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2494.0009789473697</v>
      </c>
      <c r="D21" s="3">
        <f t="shared" si="2"/>
        <v>2494.0009789473697</v>
      </c>
      <c r="E21" s="3">
        <f t="shared" si="2"/>
        <v>2494.0009789473697</v>
      </c>
      <c r="F21" s="3">
        <f t="shared" si="2"/>
        <v>2494.0009789473697</v>
      </c>
      <c r="G21" s="3">
        <f t="shared" si="2"/>
        <v>-505.99902105263027</v>
      </c>
      <c r="H21" s="3">
        <f t="shared" si="2"/>
        <v>2494.0009789473697</v>
      </c>
      <c r="I21" s="3">
        <f t="shared" si="2"/>
        <v>2494.0009789473697</v>
      </c>
      <c r="J21" s="3">
        <f t="shared" si="2"/>
        <v>2494.0009789473697</v>
      </c>
      <c r="K21" s="3">
        <f t="shared" si="2"/>
        <v>2494.0009789473697</v>
      </c>
      <c r="L21" s="3">
        <f t="shared" si="2"/>
        <v>2494.0009789473697</v>
      </c>
    </row>
    <row r="23" spans="1:12">
      <c r="A23" t="s">
        <v>25</v>
      </c>
      <c r="B23" s="4">
        <f>IFERROR(IRR(B21:L21),NA())</f>
        <v>4.9841047649119021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2494.0009789473697</v>
      </c>
      <c r="D28" s="3">
        <f>$D$21</f>
        <v>2494.0009789473697</v>
      </c>
      <c r="E28" s="3">
        <f>$E$21</f>
        <v>2494.0009789473697</v>
      </c>
      <c r="F28" s="3">
        <f>$F$21</f>
        <v>2494.0009789473697</v>
      </c>
      <c r="G28" s="3">
        <f>$G$21</f>
        <v>-505.99902105263027</v>
      </c>
      <c r="H28" s="3">
        <f>$H$21</f>
        <v>2494.0009789473697</v>
      </c>
      <c r="I28" s="3">
        <f>$I$21</f>
        <v>2494.0009789473697</v>
      </c>
      <c r="J28" s="3">
        <f>$J$21</f>
        <v>2494.0009789473697</v>
      </c>
      <c r="K28" s="3">
        <f>$K$21</f>
        <v>2494.0009789473697</v>
      </c>
      <c r="L28" s="3">
        <f>$L$21</f>
        <v>2494.0009789473697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2494.0009789473697</v>
      </c>
      <c r="D33" s="3">
        <f>$D$21</f>
        <v>2494.0009789473697</v>
      </c>
      <c r="E33" s="3">
        <f>$E$21</f>
        <v>2494.0009789473697</v>
      </c>
      <c r="F33" s="3">
        <f>$F$21</f>
        <v>2494.0009789473697</v>
      </c>
      <c r="G33" s="3">
        <f>$G$21</f>
        <v>-505.99902105263027</v>
      </c>
      <c r="H33" s="3">
        <f>$H$21</f>
        <v>2494.0009789473697</v>
      </c>
      <c r="I33" s="3">
        <f>$I$21</f>
        <v>2494.0009789473697</v>
      </c>
      <c r="J33" s="3">
        <f>$J$21</f>
        <v>2494.0009789473697</v>
      </c>
      <c r="K33" s="3">
        <f>$K$21</f>
        <v>2494.0009789473697</v>
      </c>
      <c r="L33" s="3">
        <f>$L$21</f>
        <v>2494.0009789473697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2494.0009789473697</v>
      </c>
      <c r="D38" s="3">
        <f>$D$21</f>
        <v>2494.0009789473697</v>
      </c>
      <c r="E38" s="3">
        <f>$E$21</f>
        <v>2494.0009789473697</v>
      </c>
      <c r="F38" s="3">
        <f>$F$21</f>
        <v>2494.0009789473697</v>
      </c>
      <c r="G38" s="3">
        <f>$G$21</f>
        <v>-505.99902105263027</v>
      </c>
      <c r="H38" s="3">
        <f>$H$21</f>
        <v>2494.0009789473697</v>
      </c>
      <c r="I38" s="3">
        <f>$I$21</f>
        <v>2494.0009789473697</v>
      </c>
      <c r="J38" s="3">
        <f>$J$21</f>
        <v>2494.0009789473697</v>
      </c>
      <c r="K38" s="3">
        <f>$K$21</f>
        <v>2494.0009789473697</v>
      </c>
      <c r="L38" s="3">
        <f>$L$21</f>
        <v>2494.0009789473697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2494.0009789473697</v>
      </c>
      <c r="D43" s="3">
        <f>$D$21</f>
        <v>2494.0009789473697</v>
      </c>
      <c r="E43" s="3">
        <f>$E$21</f>
        <v>2494.0009789473697</v>
      </c>
      <c r="F43" s="3">
        <f>$F$21</f>
        <v>2494.0009789473697</v>
      </c>
      <c r="G43" s="3">
        <f>$G$21</f>
        <v>-505.99902105263027</v>
      </c>
      <c r="H43" s="3">
        <f>$H$21</f>
        <v>2494.0009789473697</v>
      </c>
      <c r="I43" s="3">
        <f>$I$21</f>
        <v>2494.0009789473697</v>
      </c>
      <c r="J43" s="3">
        <f>$J$21</f>
        <v>2494.0009789473697</v>
      </c>
      <c r="K43" s="3">
        <f>$K$21</f>
        <v>2494.0009789473697</v>
      </c>
      <c r="L43" s="3">
        <f>$L$21</f>
        <v>2494.0009789473697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2494.0009789473697</v>
      </c>
      <c r="D48" s="3">
        <f>$D$21</f>
        <v>2494.0009789473697</v>
      </c>
      <c r="E48" s="3">
        <f>$E$21</f>
        <v>2494.0009789473697</v>
      </c>
      <c r="F48" s="3">
        <f>$F$21</f>
        <v>2494.0009789473697</v>
      </c>
      <c r="G48" s="3">
        <f>$G$21</f>
        <v>-505.99902105263027</v>
      </c>
      <c r="H48" s="3">
        <f>$H$21</f>
        <v>2494.0009789473697</v>
      </c>
      <c r="I48" s="3">
        <f>$I$21</f>
        <v>2494.0009789473697</v>
      </c>
      <c r="J48" s="3">
        <f>$J$21</f>
        <v>2494.0009789473697</v>
      </c>
      <c r="K48" s="3">
        <f>$K$21</f>
        <v>2494.0009789473697</v>
      </c>
      <c r="L48" s="3">
        <f>$L$21</f>
        <v>2494.0009789473697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2494.0009789473697</v>
      </c>
      <c r="D53" s="3">
        <f>$D$21</f>
        <v>2494.0009789473697</v>
      </c>
      <c r="E53" s="3">
        <f>$E$21</f>
        <v>2494.0009789473697</v>
      </c>
      <c r="F53" s="3">
        <f>$F$21</f>
        <v>2494.0009789473697</v>
      </c>
      <c r="G53" s="3">
        <f>$G$21</f>
        <v>-505.99902105263027</v>
      </c>
      <c r="H53" s="3">
        <f>$H$21</f>
        <v>2494.0009789473697</v>
      </c>
      <c r="I53" s="3">
        <f>$I$21</f>
        <v>2494.0009789473697</v>
      </c>
      <c r="J53" s="3">
        <f>$J$21</f>
        <v>2494.0009789473697</v>
      </c>
      <c r="K53" s="3">
        <f>$K$21</f>
        <v>2494.0009789473697</v>
      </c>
      <c r="L53" s="3">
        <f>$L$21</f>
        <v>2494.0009789473697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2494.0009789473697</v>
      </c>
      <c r="D58" s="3">
        <f>$D$21</f>
        <v>2494.0009789473697</v>
      </c>
      <c r="E58" s="3">
        <f>$E$21</f>
        <v>2494.0009789473697</v>
      </c>
      <c r="F58" s="3">
        <f>$F$21</f>
        <v>2494.0009789473697</v>
      </c>
      <c r="G58" s="3">
        <f>$G$21</f>
        <v>-505.99902105263027</v>
      </c>
      <c r="H58" s="3">
        <f>$H$21</f>
        <v>2494.0009789473697</v>
      </c>
      <c r="I58" s="3">
        <f>$I$21</f>
        <v>2494.0009789473697</v>
      </c>
      <c r="J58" s="3">
        <f>$J$21</f>
        <v>2494.0009789473697</v>
      </c>
      <c r="K58" s="3">
        <f>$K$21</f>
        <v>2494.0009789473697</v>
      </c>
      <c r="L58" s="3">
        <f>$L$21</f>
        <v>2494.0009789473697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2494.0009789473697</v>
      </c>
      <c r="D63" s="3">
        <f>$D$21</f>
        <v>2494.0009789473697</v>
      </c>
      <c r="E63" s="3">
        <f>$E$21</f>
        <v>2494.0009789473697</v>
      </c>
      <c r="F63" s="3">
        <f>$F$21</f>
        <v>2494.0009789473697</v>
      </c>
      <c r="G63" s="3">
        <f>$G$21</f>
        <v>-505.99902105263027</v>
      </c>
      <c r="H63" s="3">
        <f>$H$21</f>
        <v>2494.0009789473697</v>
      </c>
      <c r="I63" s="3">
        <f>$I$21</f>
        <v>2494.0009789473697</v>
      </c>
      <c r="J63" s="3">
        <f>$J$21</f>
        <v>2494.0009789473697</v>
      </c>
      <c r="K63" s="3">
        <f>$K$21</f>
        <v>2494.0009789473697</v>
      </c>
      <c r="L63" s="3">
        <f>$L$21</f>
        <v>2494.0009789473697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2494.0009789473697</v>
      </c>
      <c r="D68" s="3">
        <f>$D$21</f>
        <v>2494.0009789473697</v>
      </c>
      <c r="E68" s="3">
        <f>$E$21</f>
        <v>2494.0009789473697</v>
      </c>
      <c r="F68" s="3">
        <f>$F$21</f>
        <v>2494.0009789473697</v>
      </c>
      <c r="G68" s="3">
        <f>$G$21</f>
        <v>-505.99902105263027</v>
      </c>
      <c r="H68" s="3">
        <f>$H$21</f>
        <v>2494.0009789473697</v>
      </c>
      <c r="I68" s="3">
        <f>$I$21</f>
        <v>2494.0009789473697</v>
      </c>
      <c r="J68" s="3">
        <f>$J$21</f>
        <v>2494.0009789473697</v>
      </c>
      <c r="K68" s="3">
        <f>$K$21</f>
        <v>2494.0009789473697</v>
      </c>
      <c r="L68" s="3">
        <f>$L$21</f>
        <v>2494.0009789473697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2494.0009789473697</v>
      </c>
      <c r="D73" s="3">
        <f>$D$21</f>
        <v>2494.0009789473697</v>
      </c>
      <c r="E73" s="3">
        <f>$E$21</f>
        <v>2494.0009789473697</v>
      </c>
      <c r="F73" s="3">
        <f>$F$21</f>
        <v>2494.0009789473697</v>
      </c>
      <c r="G73" s="3">
        <f>$G$21</f>
        <v>-505.99902105263027</v>
      </c>
      <c r="H73" s="3">
        <f>$H$21</f>
        <v>2494.0009789473697</v>
      </c>
      <c r="I73" s="3">
        <f>$I$21</f>
        <v>2494.0009789473697</v>
      </c>
      <c r="J73" s="3">
        <f>$J$21</f>
        <v>2494.0009789473697</v>
      </c>
      <c r="K73" s="3">
        <f>$K$21</f>
        <v>2494.0009789473697</v>
      </c>
      <c r="L73" s="3">
        <f>$L$21</f>
        <v>2494.0009789473697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2494.0009789473697</v>
      </c>
      <c r="D78" s="3">
        <f>$D$21</f>
        <v>2494.0009789473697</v>
      </c>
      <c r="E78" s="3">
        <f>$E$21</f>
        <v>2494.0009789473697</v>
      </c>
      <c r="F78" s="3">
        <f>$F$21</f>
        <v>2494.0009789473697</v>
      </c>
      <c r="G78" s="3">
        <f>$G$21</f>
        <v>-505.99902105263027</v>
      </c>
      <c r="H78" s="3">
        <f>$H$21</f>
        <v>2494.0009789473697</v>
      </c>
      <c r="I78" s="3">
        <f>$I$21</f>
        <v>2494.0009789473697</v>
      </c>
      <c r="J78" s="3">
        <f>$J$21</f>
        <v>2494.0009789473697</v>
      </c>
      <c r="K78" s="3">
        <f>$K$21</f>
        <v>2494.0009789473697</v>
      </c>
      <c r="L78" s="3">
        <f>$L$21</f>
        <v>2494.0009789473697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2494.0009789473697</v>
      </c>
      <c r="D83" s="3">
        <f>$D$21</f>
        <v>2494.0009789473697</v>
      </c>
      <c r="E83" s="3">
        <f>$E$21</f>
        <v>2494.0009789473697</v>
      </c>
      <c r="F83" s="3">
        <f>$F$21</f>
        <v>2494.0009789473697</v>
      </c>
      <c r="G83" s="3">
        <f>$G$21</f>
        <v>-505.99902105263027</v>
      </c>
      <c r="H83" s="3">
        <f>$H$21</f>
        <v>2494.0009789473697</v>
      </c>
      <c r="I83" s="3">
        <f>$I$21</f>
        <v>2494.0009789473697</v>
      </c>
      <c r="J83" s="3">
        <f>$J$21</f>
        <v>2494.0009789473697</v>
      </c>
      <c r="K83" s="3">
        <f>$K$21</f>
        <v>2494.0009789473697</v>
      </c>
      <c r="L83" s="3">
        <f>$L$21</f>
        <v>2494.0009789473697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2494.0009789473697</v>
      </c>
      <c r="D88" s="3">
        <f>$D$21</f>
        <v>2494.0009789473697</v>
      </c>
      <c r="E88" s="3">
        <f>$E$21</f>
        <v>2494.0009789473697</v>
      </c>
      <c r="F88" s="3">
        <f>$F$21</f>
        <v>2494.0009789473697</v>
      </c>
      <c r="G88" s="3">
        <f>$G$21</f>
        <v>-505.99902105263027</v>
      </c>
      <c r="H88" s="3">
        <f>$H$21</f>
        <v>2494.0009789473697</v>
      </c>
      <c r="I88" s="3">
        <f>$I$21</f>
        <v>2494.0009789473697</v>
      </c>
      <c r="J88" s="3">
        <f>$J$21</f>
        <v>2494.0009789473697</v>
      </c>
      <c r="K88" s="3">
        <f>$K$21</f>
        <v>2494.0009789473697</v>
      </c>
      <c r="L88" s="3">
        <f>$L$21</f>
        <v>2494.0009789473697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2494.0009789473697</v>
      </c>
      <c r="D93" s="3">
        <f>$D$21</f>
        <v>2494.0009789473697</v>
      </c>
      <c r="E93" s="3">
        <f>$E$21</f>
        <v>2494.0009789473697</v>
      </c>
      <c r="F93" s="3">
        <f>$F$21</f>
        <v>2494.0009789473697</v>
      </c>
      <c r="G93" s="3">
        <f>$G$21</f>
        <v>-505.99902105263027</v>
      </c>
      <c r="H93" s="3">
        <f>$H$21</f>
        <v>2494.0009789473697</v>
      </c>
      <c r="I93" s="3">
        <f>$I$21</f>
        <v>2494.0009789473697</v>
      </c>
      <c r="J93" s="3">
        <f>$J$21</f>
        <v>2494.0009789473697</v>
      </c>
      <c r="K93" s="3">
        <f>$K$21</f>
        <v>2494.0009789473697</v>
      </c>
      <c r="L93" s="3">
        <f>$L$21</f>
        <v>2494.0009789473697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2494.0009789473697</v>
      </c>
      <c r="D98" s="3">
        <f>$D$21</f>
        <v>2494.0009789473697</v>
      </c>
      <c r="E98" s="3">
        <f>$E$21</f>
        <v>2494.0009789473697</v>
      </c>
      <c r="F98" s="3">
        <f>$F$21</f>
        <v>2494.0009789473697</v>
      </c>
      <c r="G98" s="3">
        <f>$G$21</f>
        <v>-505.99902105263027</v>
      </c>
      <c r="H98" s="3">
        <f>$H$21</f>
        <v>2494.0009789473697</v>
      </c>
      <c r="I98" s="3">
        <f>$I$21</f>
        <v>2494.0009789473697</v>
      </c>
      <c r="J98" s="3">
        <f>$J$21</f>
        <v>2494.0009789473697</v>
      </c>
      <c r="K98" s="3">
        <f>$K$21</f>
        <v>2494.0009789473697</v>
      </c>
      <c r="L98" s="3">
        <f>$L$21</f>
        <v>2494.0009789473697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2494.0009789473697</v>
      </c>
      <c r="D103" s="3">
        <f>$D$21</f>
        <v>2494.0009789473697</v>
      </c>
      <c r="E103" s="3">
        <f>$E$21</f>
        <v>2494.0009789473697</v>
      </c>
      <c r="F103" s="3">
        <f>$F$21</f>
        <v>2494.0009789473697</v>
      </c>
      <c r="G103" s="3">
        <f>$G$21</f>
        <v>-505.99902105263027</v>
      </c>
      <c r="H103" s="3">
        <f>$H$21</f>
        <v>2494.0009789473697</v>
      </c>
      <c r="I103" s="3">
        <f>$I$21</f>
        <v>2494.0009789473697</v>
      </c>
      <c r="J103" s="3">
        <f>$J$21</f>
        <v>2494.0009789473697</v>
      </c>
      <c r="K103" s="3">
        <f>$K$21</f>
        <v>2494.0009789473697</v>
      </c>
      <c r="L103" s="3">
        <f>$L$21</f>
        <v>2494.0009789473697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2494.0009789473697</v>
      </c>
      <c r="D108" s="3">
        <f>$D$21</f>
        <v>2494.0009789473697</v>
      </c>
      <c r="E108" s="3">
        <f>$E$21</f>
        <v>2494.0009789473697</v>
      </c>
      <c r="F108" s="3">
        <f>$F$21</f>
        <v>2494.0009789473697</v>
      </c>
      <c r="G108" s="3">
        <f>$G$21</f>
        <v>-505.99902105263027</v>
      </c>
      <c r="H108" s="3">
        <f>$H$21</f>
        <v>2494.0009789473697</v>
      </c>
      <c r="I108" s="3">
        <f>$I$21</f>
        <v>2494.0009789473697</v>
      </c>
      <c r="J108" s="3">
        <f>$J$21</f>
        <v>2494.0009789473697</v>
      </c>
      <c r="K108" s="3">
        <f>$K$21</f>
        <v>2494.0009789473697</v>
      </c>
      <c r="L108" s="3">
        <f>$L$21</f>
        <v>2494.0009789473697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2494.0009789473697</v>
      </c>
      <c r="D113" s="3">
        <f>$D$21</f>
        <v>2494.0009789473697</v>
      </c>
      <c r="E113" s="3">
        <f>$E$21</f>
        <v>2494.0009789473697</v>
      </c>
      <c r="F113" s="3">
        <f>$F$21</f>
        <v>2494.0009789473697</v>
      </c>
      <c r="G113" s="3">
        <f>$G$21</f>
        <v>-505.99902105263027</v>
      </c>
      <c r="H113" s="3">
        <f>$H$21</f>
        <v>2494.0009789473697</v>
      </c>
      <c r="I113" s="3">
        <f>$I$21</f>
        <v>2494.0009789473697</v>
      </c>
      <c r="J113" s="3">
        <f>$J$21</f>
        <v>2494.0009789473697</v>
      </c>
      <c r="K113" s="3">
        <f>$K$21</f>
        <v>2494.0009789473697</v>
      </c>
      <c r="L113" s="3">
        <f>$L$21</f>
        <v>2494.0009789473697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2494.0009789473697</v>
      </c>
      <c r="D118" s="3">
        <f>$D$21</f>
        <v>2494.0009789473697</v>
      </c>
      <c r="E118" s="3">
        <f>$E$21</f>
        <v>2494.0009789473697</v>
      </c>
      <c r="F118" s="3">
        <f>$F$21</f>
        <v>2494.0009789473697</v>
      </c>
      <c r="G118" s="3">
        <f>$G$21</f>
        <v>-505.99902105263027</v>
      </c>
      <c r="H118" s="3">
        <f>$H$21</f>
        <v>2494.0009789473697</v>
      </c>
      <c r="I118" s="3">
        <f>$I$21</f>
        <v>2494.0009789473697</v>
      </c>
      <c r="J118" s="3">
        <f>$J$21</f>
        <v>2494.0009789473697</v>
      </c>
      <c r="K118" s="3">
        <f>$K$21</f>
        <v>2494.0009789473697</v>
      </c>
      <c r="L118" s="3">
        <f>$L$21</f>
        <v>2494.0009789473697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789D-A7B3-4BD4-B2C9-FDAC62529B46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  <col min="2" max="2" width="13.85546875" customWidth="1"/>
  </cols>
  <sheetData>
    <row r="1" spans="1:15">
      <c r="A1" s="1" t="s">
        <v>24</v>
      </c>
      <c r="B1" s="28">
        <v>0.22500000000000001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22114.62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9951.5789999999997</v>
      </c>
      <c r="D7" s="2">
        <f>$B$3*'IRR inputs &amp; outputs'!$B$13</f>
        <v>9951.5789999999997</v>
      </c>
      <c r="E7" s="2">
        <f>$B$3*'IRR inputs &amp; outputs'!$B$13</f>
        <v>9951.5789999999997</v>
      </c>
      <c r="F7" s="2">
        <f>$B$3*'IRR inputs &amp; outputs'!$B$13</f>
        <v>9951.5789999999997</v>
      </c>
      <c r="G7" s="2">
        <f>$B$3*'IRR inputs &amp; outputs'!$B$13</f>
        <v>9951.5789999999997</v>
      </c>
      <c r="H7" s="2">
        <f>$B$3*'IRR inputs &amp; outputs'!$B$13</f>
        <v>9951.5789999999997</v>
      </c>
      <c r="I7" s="2">
        <f>$B$3*'IRR inputs &amp; outputs'!$B$13</f>
        <v>9951.5789999999997</v>
      </c>
      <c r="J7" s="2">
        <f>$B$3*'IRR inputs &amp; outputs'!$B$13</f>
        <v>9951.5789999999997</v>
      </c>
      <c r="K7" s="2">
        <f>$B$3*'IRR inputs &amp; outputs'!$B$13</f>
        <v>9951.5789999999997</v>
      </c>
      <c r="L7" s="2">
        <f>$B$3*'IRR inputs &amp; outputs'!$B$13</f>
        <v>9951.5789999999997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9951.5789999999997</v>
      </c>
      <c r="D9" s="2">
        <f t="shared" si="0"/>
        <v>9951.5789999999997</v>
      </c>
      <c r="E9" s="2">
        <f t="shared" si="0"/>
        <v>9951.5789999999997</v>
      </c>
      <c r="F9" s="2">
        <f t="shared" si="0"/>
        <v>9951.5789999999997</v>
      </c>
      <c r="G9" s="2">
        <f t="shared" si="0"/>
        <v>9951.5789999999997</v>
      </c>
      <c r="H9" s="2">
        <f t="shared" si="0"/>
        <v>9951.5789999999997</v>
      </c>
      <c r="I9" s="2">
        <f t="shared" si="0"/>
        <v>9951.5789999999997</v>
      </c>
      <c r="J9" s="2">
        <f t="shared" si="0"/>
        <v>9951.5789999999997</v>
      </c>
      <c r="K9" s="2">
        <f t="shared" si="0"/>
        <v>9951.5789999999997</v>
      </c>
      <c r="L9" s="2">
        <f t="shared" si="0"/>
        <v>9951.5789999999997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4655.7094736842109</v>
      </c>
      <c r="D16" s="2">
        <f>(1/'IRR inputs &amp; outputs'!$B$8)*$B$3*'IRR inputs &amp; outputs'!$B$9+'IRR inputs &amp; outputs'!$B$10</f>
        <v>4655.7094736842109</v>
      </c>
      <c r="E16" s="2">
        <f>(1/'IRR inputs &amp; outputs'!$B$8)*$B$3*'IRR inputs &amp; outputs'!$B$9+'IRR inputs &amp; outputs'!$B$10</f>
        <v>4655.7094736842109</v>
      </c>
      <c r="F16" s="2">
        <f>(1/'IRR inputs &amp; outputs'!$B$8)*$B$3*'IRR inputs &amp; outputs'!$B$9+'IRR inputs &amp; outputs'!$B$10</f>
        <v>4655.7094736842109</v>
      </c>
      <c r="G16" s="2">
        <f>(1/'IRR inputs &amp; outputs'!$B$8)*$B$3*'IRR inputs &amp; outputs'!$B$9+'IRR inputs &amp; outputs'!$B$10</f>
        <v>4655.7094736842109</v>
      </c>
      <c r="H16" s="2">
        <f>(1/'IRR inputs &amp; outputs'!$B$8)*$B$3*'IRR inputs &amp; outputs'!$B$9+'IRR inputs &amp; outputs'!$B$10</f>
        <v>4655.7094736842109</v>
      </c>
      <c r="I16" s="2">
        <f>(1/'IRR inputs &amp; outputs'!$B$8)*$B$3*'IRR inputs &amp; outputs'!$B$9+'IRR inputs &amp; outputs'!$B$10</f>
        <v>4655.7094736842109</v>
      </c>
      <c r="J16" s="2">
        <f>(1/'IRR inputs &amp; outputs'!$B$8)*$B$3*'IRR inputs &amp; outputs'!$B$9+'IRR inputs &amp; outputs'!$B$10</f>
        <v>4655.7094736842109</v>
      </c>
      <c r="K16" s="2">
        <f>(1/'IRR inputs &amp; outputs'!$B$8)*$B$3*'IRR inputs &amp; outputs'!$B$9+'IRR inputs &amp; outputs'!$B$10</f>
        <v>4655.7094736842109</v>
      </c>
      <c r="L16" s="2">
        <f>(1/'IRR inputs &amp; outputs'!$B$8)*$B$3*'IRR inputs &amp; outputs'!$B$9+'IRR inputs &amp; outputs'!$B$10</f>
        <v>4655.7094736842109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746.368425</v>
      </c>
      <c r="D18" s="2">
        <f>$B$3*'IRR inputs &amp; outputs'!$B$11*'IRR inputs &amp; outputs'!$B$13</f>
        <v>746.368425</v>
      </c>
      <c r="E18" s="2">
        <f>$B$3*'IRR inputs &amp; outputs'!$B$11*'IRR inputs &amp; outputs'!$B$13</f>
        <v>746.368425</v>
      </c>
      <c r="F18" s="2">
        <f>$B$3*'IRR inputs &amp; outputs'!$B$11*'IRR inputs &amp; outputs'!$B$13</f>
        <v>746.368425</v>
      </c>
      <c r="G18" s="2">
        <f>$B$3*'IRR inputs &amp; outputs'!$B$11*'IRR inputs &amp; outputs'!$B$13</f>
        <v>746.368425</v>
      </c>
      <c r="H18" s="2">
        <f>$B$3*'IRR inputs &amp; outputs'!$B$11*'IRR inputs &amp; outputs'!$B$13</f>
        <v>746.368425</v>
      </c>
      <c r="I18" s="2">
        <f>$B$3*'IRR inputs &amp; outputs'!$B$11*'IRR inputs &amp; outputs'!$B$13</f>
        <v>746.368425</v>
      </c>
      <c r="J18" s="2">
        <f>$B$3*'IRR inputs &amp; outputs'!$B$11*'IRR inputs &amp; outputs'!$B$13</f>
        <v>746.368425</v>
      </c>
      <c r="K18" s="2">
        <f>$B$3*'IRR inputs &amp; outputs'!$B$11*'IRR inputs &amp; outputs'!$B$13</f>
        <v>746.368425</v>
      </c>
      <c r="L18" s="2">
        <f>$B$3*'IRR inputs &amp; outputs'!$B$11*'IRR inputs &amp; outputs'!$B$13</f>
        <v>746.368425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6952.0778986842106</v>
      </c>
      <c r="D19" s="3">
        <f t="shared" si="1"/>
        <v>6952.0778986842106</v>
      </c>
      <c r="E19" s="3">
        <f t="shared" si="1"/>
        <v>6952.0778986842106</v>
      </c>
      <c r="F19" s="3">
        <f t="shared" si="1"/>
        <v>6952.0778986842106</v>
      </c>
      <c r="G19" s="3">
        <f t="shared" si="1"/>
        <v>9952.0778986842124</v>
      </c>
      <c r="H19" s="3">
        <f t="shared" si="1"/>
        <v>6952.0778986842106</v>
      </c>
      <c r="I19" s="3">
        <f t="shared" si="1"/>
        <v>6952.0778986842106</v>
      </c>
      <c r="J19" s="3">
        <f t="shared" si="1"/>
        <v>6952.0778986842106</v>
      </c>
      <c r="K19" s="3">
        <f t="shared" si="1"/>
        <v>6952.0778986842106</v>
      </c>
      <c r="L19" s="3">
        <f t="shared" si="1"/>
        <v>6952.0778986842106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2999.5011013157891</v>
      </c>
      <c r="D21" s="3">
        <f t="shared" si="2"/>
        <v>2999.5011013157891</v>
      </c>
      <c r="E21" s="3">
        <f t="shared" si="2"/>
        <v>2999.5011013157891</v>
      </c>
      <c r="F21" s="3">
        <f t="shared" si="2"/>
        <v>2999.5011013157891</v>
      </c>
      <c r="G21" s="3">
        <f t="shared" si="2"/>
        <v>-0.49889868421269057</v>
      </c>
      <c r="H21" s="3">
        <f t="shared" si="2"/>
        <v>2999.5011013157891</v>
      </c>
      <c r="I21" s="3">
        <f t="shared" si="2"/>
        <v>2999.5011013157891</v>
      </c>
      <c r="J21" s="3">
        <f t="shared" si="2"/>
        <v>2999.5011013157891</v>
      </c>
      <c r="K21" s="3">
        <f t="shared" si="2"/>
        <v>2999.5011013157891</v>
      </c>
      <c r="L21" s="3">
        <f t="shared" si="2"/>
        <v>2999.5011013157891</v>
      </c>
    </row>
    <row r="23" spans="1:12">
      <c r="A23" t="s">
        <v>25</v>
      </c>
      <c r="B23" s="4">
        <f>IFERROR(IRR(B21:L21),NA())</f>
        <v>5.9968565254431638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2999.5011013157891</v>
      </c>
      <c r="D28" s="3">
        <f>$D$21</f>
        <v>2999.5011013157891</v>
      </c>
      <c r="E28" s="3">
        <f>$E$21</f>
        <v>2999.5011013157891</v>
      </c>
      <c r="F28" s="3">
        <f>$F$21</f>
        <v>2999.5011013157891</v>
      </c>
      <c r="G28" s="3">
        <f>$G$21</f>
        <v>-0.49889868421269057</v>
      </c>
      <c r="H28" s="3">
        <f>$H$21</f>
        <v>2999.5011013157891</v>
      </c>
      <c r="I28" s="3">
        <f>$I$21</f>
        <v>2999.5011013157891</v>
      </c>
      <c r="J28" s="3">
        <f>$J$21</f>
        <v>2999.5011013157891</v>
      </c>
      <c r="K28" s="3">
        <f>$K$21</f>
        <v>2999.5011013157891</v>
      </c>
      <c r="L28" s="3">
        <f>$L$21</f>
        <v>2999.5011013157891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2999.5011013157891</v>
      </c>
      <c r="D33" s="3">
        <f>$D$21</f>
        <v>2999.5011013157891</v>
      </c>
      <c r="E33" s="3">
        <f>$E$21</f>
        <v>2999.5011013157891</v>
      </c>
      <c r="F33" s="3">
        <f>$F$21</f>
        <v>2999.5011013157891</v>
      </c>
      <c r="G33" s="3">
        <f>$G$21</f>
        <v>-0.49889868421269057</v>
      </c>
      <c r="H33" s="3">
        <f>$H$21</f>
        <v>2999.5011013157891</v>
      </c>
      <c r="I33" s="3">
        <f>$I$21</f>
        <v>2999.5011013157891</v>
      </c>
      <c r="J33" s="3">
        <f>$J$21</f>
        <v>2999.5011013157891</v>
      </c>
      <c r="K33" s="3">
        <f>$K$21</f>
        <v>2999.5011013157891</v>
      </c>
      <c r="L33" s="3">
        <f>$L$21</f>
        <v>2999.5011013157891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2999.5011013157891</v>
      </c>
      <c r="D38" s="3">
        <f>$D$21</f>
        <v>2999.5011013157891</v>
      </c>
      <c r="E38" s="3">
        <f>$E$21</f>
        <v>2999.5011013157891</v>
      </c>
      <c r="F38" s="3">
        <f>$F$21</f>
        <v>2999.5011013157891</v>
      </c>
      <c r="G38" s="3">
        <f>$G$21</f>
        <v>-0.49889868421269057</v>
      </c>
      <c r="H38" s="3">
        <f>$H$21</f>
        <v>2999.5011013157891</v>
      </c>
      <c r="I38" s="3">
        <f>$I$21</f>
        <v>2999.5011013157891</v>
      </c>
      <c r="J38" s="3">
        <f>$J$21</f>
        <v>2999.5011013157891</v>
      </c>
      <c r="K38" s="3">
        <f>$K$21</f>
        <v>2999.5011013157891</v>
      </c>
      <c r="L38" s="3">
        <f>$L$21</f>
        <v>2999.5011013157891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2999.5011013157891</v>
      </c>
      <c r="D43" s="3">
        <f>$D$21</f>
        <v>2999.5011013157891</v>
      </c>
      <c r="E43" s="3">
        <f>$E$21</f>
        <v>2999.5011013157891</v>
      </c>
      <c r="F43" s="3">
        <f>$F$21</f>
        <v>2999.5011013157891</v>
      </c>
      <c r="G43" s="3">
        <f>$G$21</f>
        <v>-0.49889868421269057</v>
      </c>
      <c r="H43" s="3">
        <f>$H$21</f>
        <v>2999.5011013157891</v>
      </c>
      <c r="I43" s="3">
        <f>$I$21</f>
        <v>2999.5011013157891</v>
      </c>
      <c r="J43" s="3">
        <f>$J$21</f>
        <v>2999.5011013157891</v>
      </c>
      <c r="K43" s="3">
        <f>$K$21</f>
        <v>2999.5011013157891</v>
      </c>
      <c r="L43" s="3">
        <f>$L$21</f>
        <v>2999.5011013157891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2999.5011013157891</v>
      </c>
      <c r="D48" s="3">
        <f>$D$21</f>
        <v>2999.5011013157891</v>
      </c>
      <c r="E48" s="3">
        <f>$E$21</f>
        <v>2999.5011013157891</v>
      </c>
      <c r="F48" s="3">
        <f>$F$21</f>
        <v>2999.5011013157891</v>
      </c>
      <c r="G48" s="3">
        <f>$G$21</f>
        <v>-0.49889868421269057</v>
      </c>
      <c r="H48" s="3">
        <f>$H$21</f>
        <v>2999.5011013157891</v>
      </c>
      <c r="I48" s="3">
        <f>$I$21</f>
        <v>2999.5011013157891</v>
      </c>
      <c r="J48" s="3">
        <f>$J$21</f>
        <v>2999.5011013157891</v>
      </c>
      <c r="K48" s="3">
        <f>$K$21</f>
        <v>2999.5011013157891</v>
      </c>
      <c r="L48" s="3">
        <f>$L$21</f>
        <v>2999.5011013157891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2999.5011013157891</v>
      </c>
      <c r="D53" s="3">
        <f>$D$21</f>
        <v>2999.5011013157891</v>
      </c>
      <c r="E53" s="3">
        <f>$E$21</f>
        <v>2999.5011013157891</v>
      </c>
      <c r="F53" s="3">
        <f>$F$21</f>
        <v>2999.5011013157891</v>
      </c>
      <c r="G53" s="3">
        <f>$G$21</f>
        <v>-0.49889868421269057</v>
      </c>
      <c r="H53" s="3">
        <f>$H$21</f>
        <v>2999.5011013157891</v>
      </c>
      <c r="I53" s="3">
        <f>$I$21</f>
        <v>2999.5011013157891</v>
      </c>
      <c r="J53" s="3">
        <f>$J$21</f>
        <v>2999.5011013157891</v>
      </c>
      <c r="K53" s="3">
        <f>$K$21</f>
        <v>2999.5011013157891</v>
      </c>
      <c r="L53" s="3">
        <f>$L$21</f>
        <v>2999.5011013157891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2999.5011013157891</v>
      </c>
      <c r="D58" s="3">
        <f>$D$21</f>
        <v>2999.5011013157891</v>
      </c>
      <c r="E58" s="3">
        <f>$E$21</f>
        <v>2999.5011013157891</v>
      </c>
      <c r="F58" s="3">
        <f>$F$21</f>
        <v>2999.5011013157891</v>
      </c>
      <c r="G58" s="3">
        <f>$G$21</f>
        <v>-0.49889868421269057</v>
      </c>
      <c r="H58" s="3">
        <f>$H$21</f>
        <v>2999.5011013157891</v>
      </c>
      <c r="I58" s="3">
        <f>$I$21</f>
        <v>2999.5011013157891</v>
      </c>
      <c r="J58" s="3">
        <f>$J$21</f>
        <v>2999.5011013157891</v>
      </c>
      <c r="K58" s="3">
        <f>$K$21</f>
        <v>2999.5011013157891</v>
      </c>
      <c r="L58" s="3">
        <f>$L$21</f>
        <v>2999.5011013157891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2999.5011013157891</v>
      </c>
      <c r="D63" s="3">
        <f>$D$21</f>
        <v>2999.5011013157891</v>
      </c>
      <c r="E63" s="3">
        <f>$E$21</f>
        <v>2999.5011013157891</v>
      </c>
      <c r="F63" s="3">
        <f>$F$21</f>
        <v>2999.5011013157891</v>
      </c>
      <c r="G63" s="3">
        <f>$G$21</f>
        <v>-0.49889868421269057</v>
      </c>
      <c r="H63" s="3">
        <f>$H$21</f>
        <v>2999.5011013157891</v>
      </c>
      <c r="I63" s="3">
        <f>$I$21</f>
        <v>2999.5011013157891</v>
      </c>
      <c r="J63" s="3">
        <f>$J$21</f>
        <v>2999.5011013157891</v>
      </c>
      <c r="K63" s="3">
        <f>$K$21</f>
        <v>2999.5011013157891</v>
      </c>
      <c r="L63" s="3">
        <f>$L$21</f>
        <v>2999.5011013157891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2999.5011013157891</v>
      </c>
      <c r="D68" s="3">
        <f>$D$21</f>
        <v>2999.5011013157891</v>
      </c>
      <c r="E68" s="3">
        <f>$E$21</f>
        <v>2999.5011013157891</v>
      </c>
      <c r="F68" s="3">
        <f>$F$21</f>
        <v>2999.5011013157891</v>
      </c>
      <c r="G68" s="3">
        <f>$G$21</f>
        <v>-0.49889868421269057</v>
      </c>
      <c r="H68" s="3">
        <f>$H$21</f>
        <v>2999.5011013157891</v>
      </c>
      <c r="I68" s="3">
        <f>$I$21</f>
        <v>2999.5011013157891</v>
      </c>
      <c r="J68" s="3">
        <f>$J$21</f>
        <v>2999.5011013157891</v>
      </c>
      <c r="K68" s="3">
        <f>$K$21</f>
        <v>2999.5011013157891</v>
      </c>
      <c r="L68" s="3">
        <f>$L$21</f>
        <v>2999.5011013157891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2999.5011013157891</v>
      </c>
      <c r="D73" s="3">
        <f>$D$21</f>
        <v>2999.5011013157891</v>
      </c>
      <c r="E73" s="3">
        <f>$E$21</f>
        <v>2999.5011013157891</v>
      </c>
      <c r="F73" s="3">
        <f>$F$21</f>
        <v>2999.5011013157891</v>
      </c>
      <c r="G73" s="3">
        <f>$G$21</f>
        <v>-0.49889868421269057</v>
      </c>
      <c r="H73" s="3">
        <f>$H$21</f>
        <v>2999.5011013157891</v>
      </c>
      <c r="I73" s="3">
        <f>$I$21</f>
        <v>2999.5011013157891</v>
      </c>
      <c r="J73" s="3">
        <f>$J$21</f>
        <v>2999.5011013157891</v>
      </c>
      <c r="K73" s="3">
        <f>$K$21</f>
        <v>2999.5011013157891</v>
      </c>
      <c r="L73" s="3">
        <f>$L$21</f>
        <v>2999.5011013157891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2999.5011013157891</v>
      </c>
      <c r="D78" s="3">
        <f>$D$21</f>
        <v>2999.5011013157891</v>
      </c>
      <c r="E78" s="3">
        <f>$E$21</f>
        <v>2999.5011013157891</v>
      </c>
      <c r="F78" s="3">
        <f>$F$21</f>
        <v>2999.5011013157891</v>
      </c>
      <c r="G78" s="3">
        <f>$G$21</f>
        <v>-0.49889868421269057</v>
      </c>
      <c r="H78" s="3">
        <f>$H$21</f>
        <v>2999.5011013157891</v>
      </c>
      <c r="I78" s="3">
        <f>$I$21</f>
        <v>2999.5011013157891</v>
      </c>
      <c r="J78" s="3">
        <f>$J$21</f>
        <v>2999.5011013157891</v>
      </c>
      <c r="K78" s="3">
        <f>$K$21</f>
        <v>2999.5011013157891</v>
      </c>
      <c r="L78" s="3">
        <f>$L$21</f>
        <v>2999.5011013157891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2999.5011013157891</v>
      </c>
      <c r="D83" s="3">
        <f>$D$21</f>
        <v>2999.5011013157891</v>
      </c>
      <c r="E83" s="3">
        <f>$E$21</f>
        <v>2999.5011013157891</v>
      </c>
      <c r="F83" s="3">
        <f>$F$21</f>
        <v>2999.5011013157891</v>
      </c>
      <c r="G83" s="3">
        <f>$G$21</f>
        <v>-0.49889868421269057</v>
      </c>
      <c r="H83" s="3">
        <f>$H$21</f>
        <v>2999.5011013157891</v>
      </c>
      <c r="I83" s="3">
        <f>$I$21</f>
        <v>2999.5011013157891</v>
      </c>
      <c r="J83" s="3">
        <f>$J$21</f>
        <v>2999.5011013157891</v>
      </c>
      <c r="K83" s="3">
        <f>$K$21</f>
        <v>2999.5011013157891</v>
      </c>
      <c r="L83" s="3">
        <f>$L$21</f>
        <v>2999.5011013157891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2999.5011013157891</v>
      </c>
      <c r="D88" s="3">
        <f>$D$21</f>
        <v>2999.5011013157891</v>
      </c>
      <c r="E88" s="3">
        <f>$E$21</f>
        <v>2999.5011013157891</v>
      </c>
      <c r="F88" s="3">
        <f>$F$21</f>
        <v>2999.5011013157891</v>
      </c>
      <c r="G88" s="3">
        <f>$G$21</f>
        <v>-0.49889868421269057</v>
      </c>
      <c r="H88" s="3">
        <f>$H$21</f>
        <v>2999.5011013157891</v>
      </c>
      <c r="I88" s="3">
        <f>$I$21</f>
        <v>2999.5011013157891</v>
      </c>
      <c r="J88" s="3">
        <f>$J$21</f>
        <v>2999.5011013157891</v>
      </c>
      <c r="K88" s="3">
        <f>$K$21</f>
        <v>2999.5011013157891</v>
      </c>
      <c r="L88" s="3">
        <f>$L$21</f>
        <v>2999.5011013157891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2999.5011013157891</v>
      </c>
      <c r="D93" s="3">
        <f>$D$21</f>
        <v>2999.5011013157891</v>
      </c>
      <c r="E93" s="3">
        <f>$E$21</f>
        <v>2999.5011013157891</v>
      </c>
      <c r="F93" s="3">
        <f>$F$21</f>
        <v>2999.5011013157891</v>
      </c>
      <c r="G93" s="3">
        <f>$G$21</f>
        <v>-0.49889868421269057</v>
      </c>
      <c r="H93" s="3">
        <f>$H$21</f>
        <v>2999.5011013157891</v>
      </c>
      <c r="I93" s="3">
        <f>$I$21</f>
        <v>2999.5011013157891</v>
      </c>
      <c r="J93" s="3">
        <f>$J$21</f>
        <v>2999.5011013157891</v>
      </c>
      <c r="K93" s="3">
        <f>$K$21</f>
        <v>2999.5011013157891</v>
      </c>
      <c r="L93" s="3">
        <f>$L$21</f>
        <v>2999.5011013157891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2999.5011013157891</v>
      </c>
      <c r="D98" s="3">
        <f>$D$21</f>
        <v>2999.5011013157891</v>
      </c>
      <c r="E98" s="3">
        <f>$E$21</f>
        <v>2999.5011013157891</v>
      </c>
      <c r="F98" s="3">
        <f>$F$21</f>
        <v>2999.5011013157891</v>
      </c>
      <c r="G98" s="3">
        <f>$G$21</f>
        <v>-0.49889868421269057</v>
      </c>
      <c r="H98" s="3">
        <f>$H$21</f>
        <v>2999.5011013157891</v>
      </c>
      <c r="I98" s="3">
        <f>$I$21</f>
        <v>2999.5011013157891</v>
      </c>
      <c r="J98" s="3">
        <f>$J$21</f>
        <v>2999.5011013157891</v>
      </c>
      <c r="K98" s="3">
        <f>$K$21</f>
        <v>2999.5011013157891</v>
      </c>
      <c r="L98" s="3">
        <f>$L$21</f>
        <v>2999.5011013157891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2999.5011013157891</v>
      </c>
      <c r="D103" s="3">
        <f>$D$21</f>
        <v>2999.5011013157891</v>
      </c>
      <c r="E103" s="3">
        <f>$E$21</f>
        <v>2999.5011013157891</v>
      </c>
      <c r="F103" s="3">
        <f>$F$21</f>
        <v>2999.5011013157891</v>
      </c>
      <c r="G103" s="3">
        <f>$G$21</f>
        <v>-0.49889868421269057</v>
      </c>
      <c r="H103" s="3">
        <f>$H$21</f>
        <v>2999.5011013157891</v>
      </c>
      <c r="I103" s="3">
        <f>$I$21</f>
        <v>2999.5011013157891</v>
      </c>
      <c r="J103" s="3">
        <f>$J$21</f>
        <v>2999.5011013157891</v>
      </c>
      <c r="K103" s="3">
        <f>$K$21</f>
        <v>2999.5011013157891</v>
      </c>
      <c r="L103" s="3">
        <f>$L$21</f>
        <v>2999.5011013157891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2999.5011013157891</v>
      </c>
      <c r="D108" s="3">
        <f>$D$21</f>
        <v>2999.5011013157891</v>
      </c>
      <c r="E108" s="3">
        <f>$E$21</f>
        <v>2999.5011013157891</v>
      </c>
      <c r="F108" s="3">
        <f>$F$21</f>
        <v>2999.5011013157891</v>
      </c>
      <c r="G108" s="3">
        <f>$G$21</f>
        <v>-0.49889868421269057</v>
      </c>
      <c r="H108" s="3">
        <f>$H$21</f>
        <v>2999.5011013157891</v>
      </c>
      <c r="I108" s="3">
        <f>$I$21</f>
        <v>2999.5011013157891</v>
      </c>
      <c r="J108" s="3">
        <f>$J$21</f>
        <v>2999.5011013157891</v>
      </c>
      <c r="K108" s="3">
        <f>$K$21</f>
        <v>2999.5011013157891</v>
      </c>
      <c r="L108" s="3">
        <f>$L$21</f>
        <v>2999.5011013157891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2999.5011013157891</v>
      </c>
      <c r="D113" s="3">
        <f>$D$21</f>
        <v>2999.5011013157891</v>
      </c>
      <c r="E113" s="3">
        <f>$E$21</f>
        <v>2999.5011013157891</v>
      </c>
      <c r="F113" s="3">
        <f>$F$21</f>
        <v>2999.5011013157891</v>
      </c>
      <c r="G113" s="3">
        <f>$G$21</f>
        <v>-0.49889868421269057</v>
      </c>
      <c r="H113" s="3">
        <f>$H$21</f>
        <v>2999.5011013157891</v>
      </c>
      <c r="I113" s="3">
        <f>$I$21</f>
        <v>2999.5011013157891</v>
      </c>
      <c r="J113" s="3">
        <f>$J$21</f>
        <v>2999.5011013157891</v>
      </c>
      <c r="K113" s="3">
        <f>$K$21</f>
        <v>2999.5011013157891</v>
      </c>
      <c r="L113" s="3">
        <f>$L$21</f>
        <v>2999.5011013157891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2999.5011013157891</v>
      </c>
      <c r="D118" s="3">
        <f>$D$21</f>
        <v>2999.5011013157891</v>
      </c>
      <c r="E118" s="3">
        <f>$E$21</f>
        <v>2999.5011013157891</v>
      </c>
      <c r="F118" s="3">
        <f>$F$21</f>
        <v>2999.5011013157891</v>
      </c>
      <c r="G118" s="3">
        <f>$G$21</f>
        <v>-0.49889868421269057</v>
      </c>
      <c r="H118" s="3">
        <f>$H$21</f>
        <v>2999.5011013157891</v>
      </c>
      <c r="I118" s="3">
        <f>$I$21</f>
        <v>2999.5011013157891</v>
      </c>
      <c r="J118" s="3">
        <f>$J$21</f>
        <v>2999.5011013157891</v>
      </c>
      <c r="K118" s="3">
        <f>$K$21</f>
        <v>2999.5011013157891</v>
      </c>
      <c r="L118" s="3">
        <f>$L$21</f>
        <v>2999.5011013157891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0B60-6A9A-440B-8172-C416209ADD95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0.25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24571.8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11057.31</v>
      </c>
      <c r="D7" s="2">
        <f>$B$3*'IRR inputs &amp; outputs'!$B$13</f>
        <v>11057.31</v>
      </c>
      <c r="E7" s="2">
        <f>$B$3*'IRR inputs &amp; outputs'!$B$13</f>
        <v>11057.31</v>
      </c>
      <c r="F7" s="2">
        <f>$B$3*'IRR inputs &amp; outputs'!$B$13</f>
        <v>11057.31</v>
      </c>
      <c r="G7" s="2">
        <f>$B$3*'IRR inputs &amp; outputs'!$B$13</f>
        <v>11057.31</v>
      </c>
      <c r="H7" s="2">
        <f>$B$3*'IRR inputs &amp; outputs'!$B$13</f>
        <v>11057.31</v>
      </c>
      <c r="I7" s="2">
        <f>$B$3*'IRR inputs &amp; outputs'!$B$13</f>
        <v>11057.31</v>
      </c>
      <c r="J7" s="2">
        <f>$B$3*'IRR inputs &amp; outputs'!$B$13</f>
        <v>11057.31</v>
      </c>
      <c r="K7" s="2">
        <f>$B$3*'IRR inputs &amp; outputs'!$B$13</f>
        <v>11057.31</v>
      </c>
      <c r="L7" s="2">
        <f>$B$3*'IRR inputs &amp; outputs'!$B$13</f>
        <v>11057.31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11057.31</v>
      </c>
      <c r="D9" s="2">
        <f t="shared" si="0"/>
        <v>11057.31</v>
      </c>
      <c r="E9" s="2">
        <f t="shared" si="0"/>
        <v>11057.31</v>
      </c>
      <c r="F9" s="2">
        <f t="shared" si="0"/>
        <v>11057.31</v>
      </c>
      <c r="G9" s="2">
        <f t="shared" si="0"/>
        <v>11057.31</v>
      </c>
      <c r="H9" s="2">
        <f t="shared" si="0"/>
        <v>11057.31</v>
      </c>
      <c r="I9" s="2">
        <f t="shared" si="0"/>
        <v>11057.31</v>
      </c>
      <c r="J9" s="2">
        <f t="shared" si="0"/>
        <v>11057.31</v>
      </c>
      <c r="K9" s="2">
        <f t="shared" si="0"/>
        <v>11057.31</v>
      </c>
      <c r="L9" s="2">
        <f t="shared" si="0"/>
        <v>11057.31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5173.0105263157893</v>
      </c>
      <c r="D16" s="2">
        <f>(1/'IRR inputs &amp; outputs'!$B$8)*$B$3*'IRR inputs &amp; outputs'!$B$9+'IRR inputs &amp; outputs'!$B$10</f>
        <v>5173.0105263157893</v>
      </c>
      <c r="E16" s="2">
        <f>(1/'IRR inputs &amp; outputs'!$B$8)*$B$3*'IRR inputs &amp; outputs'!$B$9+'IRR inputs &amp; outputs'!$B$10</f>
        <v>5173.0105263157893</v>
      </c>
      <c r="F16" s="2">
        <f>(1/'IRR inputs &amp; outputs'!$B$8)*$B$3*'IRR inputs &amp; outputs'!$B$9+'IRR inputs &amp; outputs'!$B$10</f>
        <v>5173.0105263157893</v>
      </c>
      <c r="G16" s="2">
        <f>(1/'IRR inputs &amp; outputs'!$B$8)*$B$3*'IRR inputs &amp; outputs'!$B$9+'IRR inputs &amp; outputs'!$B$10</f>
        <v>5173.0105263157893</v>
      </c>
      <c r="H16" s="2">
        <f>(1/'IRR inputs &amp; outputs'!$B$8)*$B$3*'IRR inputs &amp; outputs'!$B$9+'IRR inputs &amp; outputs'!$B$10</f>
        <v>5173.0105263157893</v>
      </c>
      <c r="I16" s="2">
        <f>(1/'IRR inputs &amp; outputs'!$B$8)*$B$3*'IRR inputs &amp; outputs'!$B$9+'IRR inputs &amp; outputs'!$B$10</f>
        <v>5173.0105263157893</v>
      </c>
      <c r="J16" s="2">
        <f>(1/'IRR inputs &amp; outputs'!$B$8)*$B$3*'IRR inputs &amp; outputs'!$B$9+'IRR inputs &amp; outputs'!$B$10</f>
        <v>5173.0105263157893</v>
      </c>
      <c r="K16" s="2">
        <f>(1/'IRR inputs &amp; outputs'!$B$8)*$B$3*'IRR inputs &amp; outputs'!$B$9+'IRR inputs &amp; outputs'!$B$10</f>
        <v>5173.0105263157893</v>
      </c>
      <c r="L16" s="2">
        <f>(1/'IRR inputs &amp; outputs'!$B$8)*$B$3*'IRR inputs &amp; outputs'!$B$9+'IRR inputs &amp; outputs'!$B$10</f>
        <v>5173.0105263157893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829.29824999999994</v>
      </c>
      <c r="D18" s="2">
        <f>$B$3*'IRR inputs &amp; outputs'!$B$11*'IRR inputs &amp; outputs'!$B$13</f>
        <v>829.29824999999994</v>
      </c>
      <c r="E18" s="2">
        <f>$B$3*'IRR inputs &amp; outputs'!$B$11*'IRR inputs &amp; outputs'!$B$13</f>
        <v>829.29824999999994</v>
      </c>
      <c r="F18" s="2">
        <f>$B$3*'IRR inputs &amp; outputs'!$B$11*'IRR inputs &amp; outputs'!$B$13</f>
        <v>829.29824999999994</v>
      </c>
      <c r="G18" s="2">
        <f>$B$3*'IRR inputs &amp; outputs'!$B$11*'IRR inputs &amp; outputs'!$B$13</f>
        <v>829.29824999999994</v>
      </c>
      <c r="H18" s="2">
        <f>$B$3*'IRR inputs &amp; outputs'!$B$11*'IRR inputs &amp; outputs'!$B$13</f>
        <v>829.29824999999994</v>
      </c>
      <c r="I18" s="2">
        <f>$B$3*'IRR inputs &amp; outputs'!$B$11*'IRR inputs &amp; outputs'!$B$13</f>
        <v>829.29824999999994</v>
      </c>
      <c r="J18" s="2">
        <f>$B$3*'IRR inputs &amp; outputs'!$B$11*'IRR inputs &amp; outputs'!$B$13</f>
        <v>829.29824999999994</v>
      </c>
      <c r="K18" s="2">
        <f>$B$3*'IRR inputs &amp; outputs'!$B$11*'IRR inputs &amp; outputs'!$B$13</f>
        <v>829.29824999999994</v>
      </c>
      <c r="L18" s="2">
        <f>$B$3*'IRR inputs &amp; outputs'!$B$11*'IRR inputs &amp; outputs'!$B$13</f>
        <v>829.29824999999994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7552.3087763157891</v>
      </c>
      <c r="D19" s="3">
        <f t="shared" si="1"/>
        <v>7552.3087763157891</v>
      </c>
      <c r="E19" s="3">
        <f t="shared" si="1"/>
        <v>7552.3087763157891</v>
      </c>
      <c r="F19" s="3">
        <f t="shared" si="1"/>
        <v>7552.3087763157891</v>
      </c>
      <c r="G19" s="3">
        <f t="shared" si="1"/>
        <v>10552.308776315789</v>
      </c>
      <c r="H19" s="3">
        <f t="shared" si="1"/>
        <v>7552.3087763157891</v>
      </c>
      <c r="I19" s="3">
        <f t="shared" si="1"/>
        <v>7552.3087763157891</v>
      </c>
      <c r="J19" s="3">
        <f t="shared" si="1"/>
        <v>7552.3087763157891</v>
      </c>
      <c r="K19" s="3">
        <f t="shared" si="1"/>
        <v>7552.3087763157891</v>
      </c>
      <c r="L19" s="3">
        <f t="shared" si="1"/>
        <v>7552.3087763157891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3505.0012236842103</v>
      </c>
      <c r="D21" s="3">
        <f t="shared" si="2"/>
        <v>3505.0012236842103</v>
      </c>
      <c r="E21" s="3">
        <f t="shared" si="2"/>
        <v>3505.0012236842103</v>
      </c>
      <c r="F21" s="3">
        <f t="shared" si="2"/>
        <v>3505.0012236842103</v>
      </c>
      <c r="G21" s="3">
        <f t="shared" si="2"/>
        <v>505.00122368421034</v>
      </c>
      <c r="H21" s="3">
        <f t="shared" si="2"/>
        <v>3505.0012236842103</v>
      </c>
      <c r="I21" s="3">
        <f t="shared" si="2"/>
        <v>3505.0012236842103</v>
      </c>
      <c r="J21" s="3">
        <f t="shared" si="2"/>
        <v>3505.0012236842103</v>
      </c>
      <c r="K21" s="3">
        <f t="shared" si="2"/>
        <v>3505.0012236842103</v>
      </c>
      <c r="L21" s="3">
        <f t="shared" si="2"/>
        <v>3505.0012236842103</v>
      </c>
    </row>
    <row r="23" spans="1:12">
      <c r="A23" t="s">
        <v>25</v>
      </c>
      <c r="B23" s="4">
        <f>IFERROR(IRR(B21:L21),NA())</f>
        <v>7.008726081049824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3505.0012236842103</v>
      </c>
      <c r="D28" s="3">
        <f>$D$21</f>
        <v>3505.0012236842103</v>
      </c>
      <c r="E28" s="3">
        <f>$E$21</f>
        <v>3505.0012236842103</v>
      </c>
      <c r="F28" s="3">
        <f>$F$21</f>
        <v>3505.0012236842103</v>
      </c>
      <c r="G28" s="3">
        <f>$G$21</f>
        <v>505.00122368421034</v>
      </c>
      <c r="H28" s="3">
        <f>$H$21</f>
        <v>3505.0012236842103</v>
      </c>
      <c r="I28" s="3">
        <f>$I$21</f>
        <v>3505.0012236842103</v>
      </c>
      <c r="J28" s="3">
        <f>$J$21</f>
        <v>3505.0012236842103</v>
      </c>
      <c r="K28" s="3">
        <f>$K$21</f>
        <v>3505.0012236842103</v>
      </c>
      <c r="L28" s="3">
        <f>$L$21</f>
        <v>3505.0012236842103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3505.0012236842103</v>
      </c>
      <c r="D33" s="3">
        <f>$D$21</f>
        <v>3505.0012236842103</v>
      </c>
      <c r="E33" s="3">
        <f>$E$21</f>
        <v>3505.0012236842103</v>
      </c>
      <c r="F33" s="3">
        <f>$F$21</f>
        <v>3505.0012236842103</v>
      </c>
      <c r="G33" s="3">
        <f>$G$21</f>
        <v>505.00122368421034</v>
      </c>
      <c r="H33" s="3">
        <f>$H$21</f>
        <v>3505.0012236842103</v>
      </c>
      <c r="I33" s="3">
        <f>$I$21</f>
        <v>3505.0012236842103</v>
      </c>
      <c r="J33" s="3">
        <f>$J$21</f>
        <v>3505.0012236842103</v>
      </c>
      <c r="K33" s="3">
        <f>$K$21</f>
        <v>3505.0012236842103</v>
      </c>
      <c r="L33" s="3">
        <f>$L$21</f>
        <v>3505.0012236842103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3505.0012236842103</v>
      </c>
      <c r="D38" s="3">
        <f>$D$21</f>
        <v>3505.0012236842103</v>
      </c>
      <c r="E38" s="3">
        <f>$E$21</f>
        <v>3505.0012236842103</v>
      </c>
      <c r="F38" s="3">
        <f>$F$21</f>
        <v>3505.0012236842103</v>
      </c>
      <c r="G38" s="3">
        <f>$G$21</f>
        <v>505.00122368421034</v>
      </c>
      <c r="H38" s="3">
        <f>$H$21</f>
        <v>3505.0012236842103</v>
      </c>
      <c r="I38" s="3">
        <f>$I$21</f>
        <v>3505.0012236842103</v>
      </c>
      <c r="J38" s="3">
        <f>$J$21</f>
        <v>3505.0012236842103</v>
      </c>
      <c r="K38" s="3">
        <f>$K$21</f>
        <v>3505.0012236842103</v>
      </c>
      <c r="L38" s="3">
        <f>$L$21</f>
        <v>3505.0012236842103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3505.0012236842103</v>
      </c>
      <c r="D43" s="3">
        <f>$D$21</f>
        <v>3505.0012236842103</v>
      </c>
      <c r="E43" s="3">
        <f>$E$21</f>
        <v>3505.0012236842103</v>
      </c>
      <c r="F43" s="3">
        <f>$F$21</f>
        <v>3505.0012236842103</v>
      </c>
      <c r="G43" s="3">
        <f>$G$21</f>
        <v>505.00122368421034</v>
      </c>
      <c r="H43" s="3">
        <f>$H$21</f>
        <v>3505.0012236842103</v>
      </c>
      <c r="I43" s="3">
        <f>$I$21</f>
        <v>3505.0012236842103</v>
      </c>
      <c r="J43" s="3">
        <f>$J$21</f>
        <v>3505.0012236842103</v>
      </c>
      <c r="K43" s="3">
        <f>$K$21</f>
        <v>3505.0012236842103</v>
      </c>
      <c r="L43" s="3">
        <f>$L$21</f>
        <v>3505.0012236842103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3505.0012236842103</v>
      </c>
      <c r="D48" s="3">
        <f>$D$21</f>
        <v>3505.0012236842103</v>
      </c>
      <c r="E48" s="3">
        <f>$E$21</f>
        <v>3505.0012236842103</v>
      </c>
      <c r="F48" s="3">
        <f>$F$21</f>
        <v>3505.0012236842103</v>
      </c>
      <c r="G48" s="3">
        <f>$G$21</f>
        <v>505.00122368421034</v>
      </c>
      <c r="H48" s="3">
        <f>$H$21</f>
        <v>3505.0012236842103</v>
      </c>
      <c r="I48" s="3">
        <f>$I$21</f>
        <v>3505.0012236842103</v>
      </c>
      <c r="J48" s="3">
        <f>$J$21</f>
        <v>3505.0012236842103</v>
      </c>
      <c r="K48" s="3">
        <f>$K$21</f>
        <v>3505.0012236842103</v>
      </c>
      <c r="L48" s="3">
        <f>$L$21</f>
        <v>3505.0012236842103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3505.0012236842103</v>
      </c>
      <c r="D53" s="3">
        <f>$D$21</f>
        <v>3505.0012236842103</v>
      </c>
      <c r="E53" s="3">
        <f>$E$21</f>
        <v>3505.0012236842103</v>
      </c>
      <c r="F53" s="3">
        <f>$F$21</f>
        <v>3505.0012236842103</v>
      </c>
      <c r="G53" s="3">
        <f>$G$21</f>
        <v>505.00122368421034</v>
      </c>
      <c r="H53" s="3">
        <f>$H$21</f>
        <v>3505.0012236842103</v>
      </c>
      <c r="I53" s="3">
        <f>$I$21</f>
        <v>3505.0012236842103</v>
      </c>
      <c r="J53" s="3">
        <f>$J$21</f>
        <v>3505.0012236842103</v>
      </c>
      <c r="K53" s="3">
        <f>$K$21</f>
        <v>3505.0012236842103</v>
      </c>
      <c r="L53" s="3">
        <f>$L$21</f>
        <v>3505.0012236842103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3505.0012236842103</v>
      </c>
      <c r="D58" s="3">
        <f>$D$21</f>
        <v>3505.0012236842103</v>
      </c>
      <c r="E58" s="3">
        <f>$E$21</f>
        <v>3505.0012236842103</v>
      </c>
      <c r="F58" s="3">
        <f>$F$21</f>
        <v>3505.0012236842103</v>
      </c>
      <c r="G58" s="3">
        <f>$G$21</f>
        <v>505.00122368421034</v>
      </c>
      <c r="H58" s="3">
        <f>$H$21</f>
        <v>3505.0012236842103</v>
      </c>
      <c r="I58" s="3">
        <f>$I$21</f>
        <v>3505.0012236842103</v>
      </c>
      <c r="J58" s="3">
        <f>$J$21</f>
        <v>3505.0012236842103</v>
      </c>
      <c r="K58" s="3">
        <f>$K$21</f>
        <v>3505.0012236842103</v>
      </c>
      <c r="L58" s="3">
        <f>$L$21</f>
        <v>3505.0012236842103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3505.0012236842103</v>
      </c>
      <c r="D63" s="3">
        <f>$D$21</f>
        <v>3505.0012236842103</v>
      </c>
      <c r="E63" s="3">
        <f>$E$21</f>
        <v>3505.0012236842103</v>
      </c>
      <c r="F63" s="3">
        <f>$F$21</f>
        <v>3505.0012236842103</v>
      </c>
      <c r="G63" s="3">
        <f>$G$21</f>
        <v>505.00122368421034</v>
      </c>
      <c r="H63" s="3">
        <f>$H$21</f>
        <v>3505.0012236842103</v>
      </c>
      <c r="I63" s="3">
        <f>$I$21</f>
        <v>3505.0012236842103</v>
      </c>
      <c r="J63" s="3">
        <f>$J$21</f>
        <v>3505.0012236842103</v>
      </c>
      <c r="K63" s="3">
        <f>$K$21</f>
        <v>3505.0012236842103</v>
      </c>
      <c r="L63" s="3">
        <f>$L$21</f>
        <v>3505.0012236842103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3505.0012236842103</v>
      </c>
      <c r="D68" s="3">
        <f>$D$21</f>
        <v>3505.0012236842103</v>
      </c>
      <c r="E68" s="3">
        <f>$E$21</f>
        <v>3505.0012236842103</v>
      </c>
      <c r="F68" s="3">
        <f>$F$21</f>
        <v>3505.0012236842103</v>
      </c>
      <c r="G68" s="3">
        <f>$G$21</f>
        <v>505.00122368421034</v>
      </c>
      <c r="H68" s="3">
        <f>$H$21</f>
        <v>3505.0012236842103</v>
      </c>
      <c r="I68" s="3">
        <f>$I$21</f>
        <v>3505.0012236842103</v>
      </c>
      <c r="J68" s="3">
        <f>$J$21</f>
        <v>3505.0012236842103</v>
      </c>
      <c r="K68" s="3">
        <f>$K$21</f>
        <v>3505.0012236842103</v>
      </c>
      <c r="L68" s="3">
        <f>$L$21</f>
        <v>3505.0012236842103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3505.0012236842103</v>
      </c>
      <c r="D73" s="3">
        <f>$D$21</f>
        <v>3505.0012236842103</v>
      </c>
      <c r="E73" s="3">
        <f>$E$21</f>
        <v>3505.0012236842103</v>
      </c>
      <c r="F73" s="3">
        <f>$F$21</f>
        <v>3505.0012236842103</v>
      </c>
      <c r="G73" s="3">
        <f>$G$21</f>
        <v>505.00122368421034</v>
      </c>
      <c r="H73" s="3">
        <f>$H$21</f>
        <v>3505.0012236842103</v>
      </c>
      <c r="I73" s="3">
        <f>$I$21</f>
        <v>3505.0012236842103</v>
      </c>
      <c r="J73" s="3">
        <f>$J$21</f>
        <v>3505.0012236842103</v>
      </c>
      <c r="K73" s="3">
        <f>$K$21</f>
        <v>3505.0012236842103</v>
      </c>
      <c r="L73" s="3">
        <f>$L$21</f>
        <v>3505.0012236842103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3505.0012236842103</v>
      </c>
      <c r="D78" s="3">
        <f>$D$21</f>
        <v>3505.0012236842103</v>
      </c>
      <c r="E78" s="3">
        <f>$E$21</f>
        <v>3505.0012236842103</v>
      </c>
      <c r="F78" s="3">
        <f>$F$21</f>
        <v>3505.0012236842103</v>
      </c>
      <c r="G78" s="3">
        <f>$G$21</f>
        <v>505.00122368421034</v>
      </c>
      <c r="H78" s="3">
        <f>$H$21</f>
        <v>3505.0012236842103</v>
      </c>
      <c r="I78" s="3">
        <f>$I$21</f>
        <v>3505.0012236842103</v>
      </c>
      <c r="J78" s="3">
        <f>$J$21</f>
        <v>3505.0012236842103</v>
      </c>
      <c r="K78" s="3">
        <f>$K$21</f>
        <v>3505.0012236842103</v>
      </c>
      <c r="L78" s="3">
        <f>$L$21</f>
        <v>3505.0012236842103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3505.0012236842103</v>
      </c>
      <c r="D83" s="3">
        <f>$D$21</f>
        <v>3505.0012236842103</v>
      </c>
      <c r="E83" s="3">
        <f>$E$21</f>
        <v>3505.0012236842103</v>
      </c>
      <c r="F83" s="3">
        <f>$F$21</f>
        <v>3505.0012236842103</v>
      </c>
      <c r="G83" s="3">
        <f>$G$21</f>
        <v>505.00122368421034</v>
      </c>
      <c r="H83" s="3">
        <f>$H$21</f>
        <v>3505.0012236842103</v>
      </c>
      <c r="I83" s="3">
        <f>$I$21</f>
        <v>3505.0012236842103</v>
      </c>
      <c r="J83" s="3">
        <f>$J$21</f>
        <v>3505.0012236842103</v>
      </c>
      <c r="K83" s="3">
        <f>$K$21</f>
        <v>3505.0012236842103</v>
      </c>
      <c r="L83" s="3">
        <f>$L$21</f>
        <v>3505.0012236842103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3505.0012236842103</v>
      </c>
      <c r="D88" s="3">
        <f>$D$21</f>
        <v>3505.0012236842103</v>
      </c>
      <c r="E88" s="3">
        <f>$E$21</f>
        <v>3505.0012236842103</v>
      </c>
      <c r="F88" s="3">
        <f>$F$21</f>
        <v>3505.0012236842103</v>
      </c>
      <c r="G88" s="3">
        <f>$G$21</f>
        <v>505.00122368421034</v>
      </c>
      <c r="H88" s="3">
        <f>$H$21</f>
        <v>3505.0012236842103</v>
      </c>
      <c r="I88" s="3">
        <f>$I$21</f>
        <v>3505.0012236842103</v>
      </c>
      <c r="J88" s="3">
        <f>$J$21</f>
        <v>3505.0012236842103</v>
      </c>
      <c r="K88" s="3">
        <f>$K$21</f>
        <v>3505.0012236842103</v>
      </c>
      <c r="L88" s="3">
        <f>$L$21</f>
        <v>3505.0012236842103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3505.0012236842103</v>
      </c>
      <c r="D93" s="3">
        <f>$D$21</f>
        <v>3505.0012236842103</v>
      </c>
      <c r="E93" s="3">
        <f>$E$21</f>
        <v>3505.0012236842103</v>
      </c>
      <c r="F93" s="3">
        <f>$F$21</f>
        <v>3505.0012236842103</v>
      </c>
      <c r="G93" s="3">
        <f>$G$21</f>
        <v>505.00122368421034</v>
      </c>
      <c r="H93" s="3">
        <f>$H$21</f>
        <v>3505.0012236842103</v>
      </c>
      <c r="I93" s="3">
        <f>$I$21</f>
        <v>3505.0012236842103</v>
      </c>
      <c r="J93" s="3">
        <f>$J$21</f>
        <v>3505.0012236842103</v>
      </c>
      <c r="K93" s="3">
        <f>$K$21</f>
        <v>3505.0012236842103</v>
      </c>
      <c r="L93" s="3">
        <f>$L$21</f>
        <v>3505.0012236842103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3505.0012236842103</v>
      </c>
      <c r="D98" s="3">
        <f>$D$21</f>
        <v>3505.0012236842103</v>
      </c>
      <c r="E98" s="3">
        <f>$E$21</f>
        <v>3505.0012236842103</v>
      </c>
      <c r="F98" s="3">
        <f>$F$21</f>
        <v>3505.0012236842103</v>
      </c>
      <c r="G98" s="3">
        <f>$G$21</f>
        <v>505.00122368421034</v>
      </c>
      <c r="H98" s="3">
        <f>$H$21</f>
        <v>3505.0012236842103</v>
      </c>
      <c r="I98" s="3">
        <f>$I$21</f>
        <v>3505.0012236842103</v>
      </c>
      <c r="J98" s="3">
        <f>$J$21</f>
        <v>3505.0012236842103</v>
      </c>
      <c r="K98" s="3">
        <f>$K$21</f>
        <v>3505.0012236842103</v>
      </c>
      <c r="L98" s="3">
        <f>$L$21</f>
        <v>3505.0012236842103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3505.0012236842103</v>
      </c>
      <c r="D103" s="3">
        <f>$D$21</f>
        <v>3505.0012236842103</v>
      </c>
      <c r="E103" s="3">
        <f>$E$21</f>
        <v>3505.0012236842103</v>
      </c>
      <c r="F103" s="3">
        <f>$F$21</f>
        <v>3505.0012236842103</v>
      </c>
      <c r="G103" s="3">
        <f>$G$21</f>
        <v>505.00122368421034</v>
      </c>
      <c r="H103" s="3">
        <f>$H$21</f>
        <v>3505.0012236842103</v>
      </c>
      <c r="I103" s="3">
        <f>$I$21</f>
        <v>3505.0012236842103</v>
      </c>
      <c r="J103" s="3">
        <f>$J$21</f>
        <v>3505.0012236842103</v>
      </c>
      <c r="K103" s="3">
        <f>$K$21</f>
        <v>3505.0012236842103</v>
      </c>
      <c r="L103" s="3">
        <f>$L$21</f>
        <v>3505.0012236842103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3505.0012236842103</v>
      </c>
      <c r="D108" s="3">
        <f>$D$21</f>
        <v>3505.0012236842103</v>
      </c>
      <c r="E108" s="3">
        <f>$E$21</f>
        <v>3505.0012236842103</v>
      </c>
      <c r="F108" s="3">
        <f>$F$21</f>
        <v>3505.0012236842103</v>
      </c>
      <c r="G108" s="3">
        <f>$G$21</f>
        <v>505.00122368421034</v>
      </c>
      <c r="H108" s="3">
        <f>$H$21</f>
        <v>3505.0012236842103</v>
      </c>
      <c r="I108" s="3">
        <f>$I$21</f>
        <v>3505.0012236842103</v>
      </c>
      <c r="J108" s="3">
        <f>$J$21</f>
        <v>3505.0012236842103</v>
      </c>
      <c r="K108" s="3">
        <f>$K$21</f>
        <v>3505.0012236842103</v>
      </c>
      <c r="L108" s="3">
        <f>$L$21</f>
        <v>3505.0012236842103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3505.0012236842103</v>
      </c>
      <c r="D113" s="3">
        <f>$D$21</f>
        <v>3505.0012236842103</v>
      </c>
      <c r="E113" s="3">
        <f>$E$21</f>
        <v>3505.0012236842103</v>
      </c>
      <c r="F113" s="3">
        <f>$F$21</f>
        <v>3505.0012236842103</v>
      </c>
      <c r="G113" s="3">
        <f>$G$21</f>
        <v>505.00122368421034</v>
      </c>
      <c r="H113" s="3">
        <f>$H$21</f>
        <v>3505.0012236842103</v>
      </c>
      <c r="I113" s="3">
        <f>$I$21</f>
        <v>3505.0012236842103</v>
      </c>
      <c r="J113" s="3">
        <f>$J$21</f>
        <v>3505.0012236842103</v>
      </c>
      <c r="K113" s="3">
        <f>$K$21</f>
        <v>3505.0012236842103</v>
      </c>
      <c r="L113" s="3">
        <f>$L$21</f>
        <v>3505.0012236842103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3505.0012236842103</v>
      </c>
      <c r="D118" s="3">
        <f>$D$21</f>
        <v>3505.0012236842103</v>
      </c>
      <c r="E118" s="3">
        <f>$E$21</f>
        <v>3505.0012236842103</v>
      </c>
      <c r="F118" s="3">
        <f>$F$21</f>
        <v>3505.0012236842103</v>
      </c>
      <c r="G118" s="3">
        <f>$G$21</f>
        <v>505.00122368421034</v>
      </c>
      <c r="H118" s="3">
        <f>$H$21</f>
        <v>3505.0012236842103</v>
      </c>
      <c r="I118" s="3">
        <f>$I$21</f>
        <v>3505.0012236842103</v>
      </c>
      <c r="J118" s="3">
        <f>$J$21</f>
        <v>3505.0012236842103</v>
      </c>
      <c r="K118" s="3">
        <f>$K$21</f>
        <v>3505.0012236842103</v>
      </c>
      <c r="L118" s="3">
        <f>$L$21</f>
        <v>3505.0012236842103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907B-B7B1-4D54-B4DD-194926EF20CC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0.3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29486.16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13268.772000000001</v>
      </c>
      <c r="D7" s="2">
        <f>$B$3*'IRR inputs &amp; outputs'!$B$13</f>
        <v>13268.772000000001</v>
      </c>
      <c r="E7" s="2">
        <f>$B$3*'IRR inputs &amp; outputs'!$B$13</f>
        <v>13268.772000000001</v>
      </c>
      <c r="F7" s="2">
        <f>$B$3*'IRR inputs &amp; outputs'!$B$13</f>
        <v>13268.772000000001</v>
      </c>
      <c r="G7" s="2">
        <f>$B$3*'IRR inputs &amp; outputs'!$B$13</f>
        <v>13268.772000000001</v>
      </c>
      <c r="H7" s="2">
        <f>$B$3*'IRR inputs &amp; outputs'!$B$13</f>
        <v>13268.772000000001</v>
      </c>
      <c r="I7" s="2">
        <f>$B$3*'IRR inputs &amp; outputs'!$B$13</f>
        <v>13268.772000000001</v>
      </c>
      <c r="J7" s="2">
        <f>$B$3*'IRR inputs &amp; outputs'!$B$13</f>
        <v>13268.772000000001</v>
      </c>
      <c r="K7" s="2">
        <f>$B$3*'IRR inputs &amp; outputs'!$B$13</f>
        <v>13268.772000000001</v>
      </c>
      <c r="L7" s="2">
        <f>$B$3*'IRR inputs &amp; outputs'!$B$13</f>
        <v>13268.772000000001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13268.772000000001</v>
      </c>
      <c r="D9" s="2">
        <f t="shared" si="0"/>
        <v>13268.772000000001</v>
      </c>
      <c r="E9" s="2">
        <f t="shared" si="0"/>
        <v>13268.772000000001</v>
      </c>
      <c r="F9" s="2">
        <f t="shared" si="0"/>
        <v>13268.772000000001</v>
      </c>
      <c r="G9" s="2">
        <f t="shared" si="0"/>
        <v>13268.772000000001</v>
      </c>
      <c r="H9" s="2">
        <f t="shared" si="0"/>
        <v>13268.772000000001</v>
      </c>
      <c r="I9" s="2">
        <f t="shared" si="0"/>
        <v>13268.772000000001</v>
      </c>
      <c r="J9" s="2">
        <f t="shared" si="0"/>
        <v>13268.772000000001</v>
      </c>
      <c r="K9" s="2">
        <f t="shared" si="0"/>
        <v>13268.772000000001</v>
      </c>
      <c r="L9" s="2">
        <f t="shared" si="0"/>
        <v>13268.772000000001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6207.6126315789479</v>
      </c>
      <c r="D16" s="2">
        <f>(1/'IRR inputs &amp; outputs'!$B$8)*$B$3*'IRR inputs &amp; outputs'!$B$9+'IRR inputs &amp; outputs'!$B$10</f>
        <v>6207.6126315789479</v>
      </c>
      <c r="E16" s="2">
        <f>(1/'IRR inputs &amp; outputs'!$B$8)*$B$3*'IRR inputs &amp; outputs'!$B$9+'IRR inputs &amp; outputs'!$B$10</f>
        <v>6207.6126315789479</v>
      </c>
      <c r="F16" s="2">
        <f>(1/'IRR inputs &amp; outputs'!$B$8)*$B$3*'IRR inputs &amp; outputs'!$B$9+'IRR inputs &amp; outputs'!$B$10</f>
        <v>6207.6126315789479</v>
      </c>
      <c r="G16" s="2">
        <f>(1/'IRR inputs &amp; outputs'!$B$8)*$B$3*'IRR inputs &amp; outputs'!$B$9+'IRR inputs &amp; outputs'!$B$10</f>
        <v>6207.6126315789479</v>
      </c>
      <c r="H16" s="2">
        <f>(1/'IRR inputs &amp; outputs'!$B$8)*$B$3*'IRR inputs &amp; outputs'!$B$9+'IRR inputs &amp; outputs'!$B$10</f>
        <v>6207.6126315789479</v>
      </c>
      <c r="I16" s="2">
        <f>(1/'IRR inputs &amp; outputs'!$B$8)*$B$3*'IRR inputs &amp; outputs'!$B$9+'IRR inputs &amp; outputs'!$B$10</f>
        <v>6207.6126315789479</v>
      </c>
      <c r="J16" s="2">
        <f>(1/'IRR inputs &amp; outputs'!$B$8)*$B$3*'IRR inputs &amp; outputs'!$B$9+'IRR inputs &amp; outputs'!$B$10</f>
        <v>6207.6126315789479</v>
      </c>
      <c r="K16" s="2">
        <f>(1/'IRR inputs &amp; outputs'!$B$8)*$B$3*'IRR inputs &amp; outputs'!$B$9+'IRR inputs &amp; outputs'!$B$10</f>
        <v>6207.6126315789479</v>
      </c>
      <c r="L16" s="2">
        <f>(1/'IRR inputs &amp; outputs'!$B$8)*$B$3*'IRR inputs &amp; outputs'!$B$9+'IRR inputs &amp; outputs'!$B$10</f>
        <v>6207.6126315789479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995.15790000000004</v>
      </c>
      <c r="D18" s="2">
        <f>$B$3*'IRR inputs &amp; outputs'!$B$11*'IRR inputs &amp; outputs'!$B$13</f>
        <v>995.15790000000004</v>
      </c>
      <c r="E18" s="2">
        <f>$B$3*'IRR inputs &amp; outputs'!$B$11*'IRR inputs &amp; outputs'!$B$13</f>
        <v>995.15790000000004</v>
      </c>
      <c r="F18" s="2">
        <f>$B$3*'IRR inputs &amp; outputs'!$B$11*'IRR inputs &amp; outputs'!$B$13</f>
        <v>995.15790000000004</v>
      </c>
      <c r="G18" s="2">
        <f>$B$3*'IRR inputs &amp; outputs'!$B$11*'IRR inputs &amp; outputs'!$B$13</f>
        <v>995.15790000000004</v>
      </c>
      <c r="H18" s="2">
        <f>$B$3*'IRR inputs &amp; outputs'!$B$11*'IRR inputs &amp; outputs'!$B$13</f>
        <v>995.15790000000004</v>
      </c>
      <c r="I18" s="2">
        <f>$B$3*'IRR inputs &amp; outputs'!$B$11*'IRR inputs &amp; outputs'!$B$13</f>
        <v>995.15790000000004</v>
      </c>
      <c r="J18" s="2">
        <f>$B$3*'IRR inputs &amp; outputs'!$B$11*'IRR inputs &amp; outputs'!$B$13</f>
        <v>995.15790000000004</v>
      </c>
      <c r="K18" s="2">
        <f>$B$3*'IRR inputs &amp; outputs'!$B$11*'IRR inputs &amp; outputs'!$B$13</f>
        <v>995.15790000000004</v>
      </c>
      <c r="L18" s="2">
        <f>$B$3*'IRR inputs &amp; outputs'!$B$11*'IRR inputs &amp; outputs'!$B$13</f>
        <v>995.15790000000004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8752.7705315789481</v>
      </c>
      <c r="D19" s="3">
        <f t="shared" si="1"/>
        <v>8752.7705315789481</v>
      </c>
      <c r="E19" s="3">
        <f t="shared" si="1"/>
        <v>8752.7705315789481</v>
      </c>
      <c r="F19" s="3">
        <f t="shared" si="1"/>
        <v>8752.7705315789481</v>
      </c>
      <c r="G19" s="3">
        <f t="shared" si="1"/>
        <v>11752.770531578948</v>
      </c>
      <c r="H19" s="3">
        <f t="shared" si="1"/>
        <v>8752.7705315789481</v>
      </c>
      <c r="I19" s="3">
        <f t="shared" si="1"/>
        <v>8752.7705315789481</v>
      </c>
      <c r="J19" s="3">
        <f t="shared" si="1"/>
        <v>8752.7705315789481</v>
      </c>
      <c r="K19" s="3">
        <f t="shared" si="1"/>
        <v>8752.7705315789481</v>
      </c>
      <c r="L19" s="3">
        <f t="shared" si="1"/>
        <v>8752.7705315789481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4516.0014684210528</v>
      </c>
      <c r="D21" s="3">
        <f t="shared" si="2"/>
        <v>4516.0014684210528</v>
      </c>
      <c r="E21" s="3">
        <f t="shared" si="2"/>
        <v>4516.0014684210528</v>
      </c>
      <c r="F21" s="3">
        <f t="shared" si="2"/>
        <v>4516.0014684210528</v>
      </c>
      <c r="G21" s="3">
        <f t="shared" si="2"/>
        <v>1516.0014684210528</v>
      </c>
      <c r="H21" s="3">
        <f t="shared" si="2"/>
        <v>4516.0014684210528</v>
      </c>
      <c r="I21" s="3">
        <f t="shared" si="2"/>
        <v>4516.0014684210528</v>
      </c>
      <c r="J21" s="3">
        <f t="shared" si="2"/>
        <v>4516.0014684210528</v>
      </c>
      <c r="K21" s="3">
        <f t="shared" si="2"/>
        <v>4516.0014684210528</v>
      </c>
      <c r="L21" s="3">
        <f t="shared" si="2"/>
        <v>4516.0014684210528</v>
      </c>
    </row>
    <row r="23" spans="1:12">
      <c r="A23" t="s">
        <v>25</v>
      </c>
      <c r="B23" s="4">
        <f>IFERROR(IRR(B21:L21),NA())</f>
        <v>9.0314694943548055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4516.0014684210528</v>
      </c>
      <c r="D28" s="3">
        <f>$D$21</f>
        <v>4516.0014684210528</v>
      </c>
      <c r="E28" s="3">
        <f>$E$21</f>
        <v>4516.0014684210528</v>
      </c>
      <c r="F28" s="3">
        <f>$F$21</f>
        <v>4516.0014684210528</v>
      </c>
      <c r="G28" s="3">
        <f>$G$21</f>
        <v>1516.0014684210528</v>
      </c>
      <c r="H28" s="3">
        <f>$H$21</f>
        <v>4516.0014684210528</v>
      </c>
      <c r="I28" s="3">
        <f>$I$21</f>
        <v>4516.0014684210528</v>
      </c>
      <c r="J28" s="3">
        <f>$J$21</f>
        <v>4516.0014684210528</v>
      </c>
      <c r="K28" s="3">
        <f>$K$21</f>
        <v>4516.0014684210528</v>
      </c>
      <c r="L28" s="3">
        <f>$L$21</f>
        <v>4516.0014684210528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4516.0014684210528</v>
      </c>
      <c r="D33" s="3">
        <f>$D$21</f>
        <v>4516.0014684210528</v>
      </c>
      <c r="E33" s="3">
        <f>$E$21</f>
        <v>4516.0014684210528</v>
      </c>
      <c r="F33" s="3">
        <f>$F$21</f>
        <v>4516.0014684210528</v>
      </c>
      <c r="G33" s="3">
        <f>$G$21</f>
        <v>1516.0014684210528</v>
      </c>
      <c r="H33" s="3">
        <f>$H$21</f>
        <v>4516.0014684210528</v>
      </c>
      <c r="I33" s="3">
        <f>$I$21</f>
        <v>4516.0014684210528</v>
      </c>
      <c r="J33" s="3">
        <f>$J$21</f>
        <v>4516.0014684210528</v>
      </c>
      <c r="K33" s="3">
        <f>$K$21</f>
        <v>4516.0014684210528</v>
      </c>
      <c r="L33" s="3">
        <f>$L$21</f>
        <v>4516.0014684210528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4516.0014684210528</v>
      </c>
      <c r="D38" s="3">
        <f>$D$21</f>
        <v>4516.0014684210528</v>
      </c>
      <c r="E38" s="3">
        <f>$E$21</f>
        <v>4516.0014684210528</v>
      </c>
      <c r="F38" s="3">
        <f>$F$21</f>
        <v>4516.0014684210528</v>
      </c>
      <c r="G38" s="3">
        <f>$G$21</f>
        <v>1516.0014684210528</v>
      </c>
      <c r="H38" s="3">
        <f>$H$21</f>
        <v>4516.0014684210528</v>
      </c>
      <c r="I38" s="3">
        <f>$I$21</f>
        <v>4516.0014684210528</v>
      </c>
      <c r="J38" s="3">
        <f>$J$21</f>
        <v>4516.0014684210528</v>
      </c>
      <c r="K38" s="3">
        <f>$K$21</f>
        <v>4516.0014684210528</v>
      </c>
      <c r="L38" s="3">
        <f>$L$21</f>
        <v>4516.0014684210528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4516.0014684210528</v>
      </c>
      <c r="D43" s="3">
        <f>$D$21</f>
        <v>4516.0014684210528</v>
      </c>
      <c r="E43" s="3">
        <f>$E$21</f>
        <v>4516.0014684210528</v>
      </c>
      <c r="F43" s="3">
        <f>$F$21</f>
        <v>4516.0014684210528</v>
      </c>
      <c r="G43" s="3">
        <f>$G$21</f>
        <v>1516.0014684210528</v>
      </c>
      <c r="H43" s="3">
        <f>$H$21</f>
        <v>4516.0014684210528</v>
      </c>
      <c r="I43" s="3">
        <f>$I$21</f>
        <v>4516.0014684210528</v>
      </c>
      <c r="J43" s="3">
        <f>$J$21</f>
        <v>4516.0014684210528</v>
      </c>
      <c r="K43" s="3">
        <f>$K$21</f>
        <v>4516.0014684210528</v>
      </c>
      <c r="L43" s="3">
        <f>$L$21</f>
        <v>4516.0014684210528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4516.0014684210528</v>
      </c>
      <c r="D48" s="3">
        <f>$D$21</f>
        <v>4516.0014684210528</v>
      </c>
      <c r="E48" s="3">
        <f>$E$21</f>
        <v>4516.0014684210528</v>
      </c>
      <c r="F48" s="3">
        <f>$F$21</f>
        <v>4516.0014684210528</v>
      </c>
      <c r="G48" s="3">
        <f>$G$21</f>
        <v>1516.0014684210528</v>
      </c>
      <c r="H48" s="3">
        <f>$H$21</f>
        <v>4516.0014684210528</v>
      </c>
      <c r="I48" s="3">
        <f>$I$21</f>
        <v>4516.0014684210528</v>
      </c>
      <c r="J48" s="3">
        <f>$J$21</f>
        <v>4516.0014684210528</v>
      </c>
      <c r="K48" s="3">
        <f>$K$21</f>
        <v>4516.0014684210528</v>
      </c>
      <c r="L48" s="3">
        <f>$L$21</f>
        <v>4516.0014684210528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4516.0014684210528</v>
      </c>
      <c r="D53" s="3">
        <f>$D$21</f>
        <v>4516.0014684210528</v>
      </c>
      <c r="E53" s="3">
        <f>$E$21</f>
        <v>4516.0014684210528</v>
      </c>
      <c r="F53" s="3">
        <f>$F$21</f>
        <v>4516.0014684210528</v>
      </c>
      <c r="G53" s="3">
        <f>$G$21</f>
        <v>1516.0014684210528</v>
      </c>
      <c r="H53" s="3">
        <f>$H$21</f>
        <v>4516.0014684210528</v>
      </c>
      <c r="I53" s="3">
        <f>$I$21</f>
        <v>4516.0014684210528</v>
      </c>
      <c r="J53" s="3">
        <f>$J$21</f>
        <v>4516.0014684210528</v>
      </c>
      <c r="K53" s="3">
        <f>$K$21</f>
        <v>4516.0014684210528</v>
      </c>
      <c r="L53" s="3">
        <f>$L$21</f>
        <v>4516.0014684210528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4516.0014684210528</v>
      </c>
      <c r="D58" s="3">
        <f>$D$21</f>
        <v>4516.0014684210528</v>
      </c>
      <c r="E58" s="3">
        <f>$E$21</f>
        <v>4516.0014684210528</v>
      </c>
      <c r="F58" s="3">
        <f>$F$21</f>
        <v>4516.0014684210528</v>
      </c>
      <c r="G58" s="3">
        <f>$G$21</f>
        <v>1516.0014684210528</v>
      </c>
      <c r="H58" s="3">
        <f>$H$21</f>
        <v>4516.0014684210528</v>
      </c>
      <c r="I58" s="3">
        <f>$I$21</f>
        <v>4516.0014684210528</v>
      </c>
      <c r="J58" s="3">
        <f>$J$21</f>
        <v>4516.0014684210528</v>
      </c>
      <c r="K58" s="3">
        <f>$K$21</f>
        <v>4516.0014684210528</v>
      </c>
      <c r="L58" s="3">
        <f>$L$21</f>
        <v>4516.0014684210528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4516.0014684210528</v>
      </c>
      <c r="D63" s="3">
        <f>$D$21</f>
        <v>4516.0014684210528</v>
      </c>
      <c r="E63" s="3">
        <f>$E$21</f>
        <v>4516.0014684210528</v>
      </c>
      <c r="F63" s="3">
        <f>$F$21</f>
        <v>4516.0014684210528</v>
      </c>
      <c r="G63" s="3">
        <f>$G$21</f>
        <v>1516.0014684210528</v>
      </c>
      <c r="H63" s="3">
        <f>$H$21</f>
        <v>4516.0014684210528</v>
      </c>
      <c r="I63" s="3">
        <f>$I$21</f>
        <v>4516.0014684210528</v>
      </c>
      <c r="J63" s="3">
        <f>$J$21</f>
        <v>4516.0014684210528</v>
      </c>
      <c r="K63" s="3">
        <f>$K$21</f>
        <v>4516.0014684210528</v>
      </c>
      <c r="L63" s="3">
        <f>$L$21</f>
        <v>4516.0014684210528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4516.0014684210528</v>
      </c>
      <c r="D68" s="3">
        <f>$D$21</f>
        <v>4516.0014684210528</v>
      </c>
      <c r="E68" s="3">
        <f>$E$21</f>
        <v>4516.0014684210528</v>
      </c>
      <c r="F68" s="3">
        <f>$F$21</f>
        <v>4516.0014684210528</v>
      </c>
      <c r="G68" s="3">
        <f>$G$21</f>
        <v>1516.0014684210528</v>
      </c>
      <c r="H68" s="3">
        <f>$H$21</f>
        <v>4516.0014684210528</v>
      </c>
      <c r="I68" s="3">
        <f>$I$21</f>
        <v>4516.0014684210528</v>
      </c>
      <c r="J68" s="3">
        <f>$J$21</f>
        <v>4516.0014684210528</v>
      </c>
      <c r="K68" s="3">
        <f>$K$21</f>
        <v>4516.0014684210528</v>
      </c>
      <c r="L68" s="3">
        <f>$L$21</f>
        <v>4516.0014684210528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4516.0014684210528</v>
      </c>
      <c r="D73" s="3">
        <f>$D$21</f>
        <v>4516.0014684210528</v>
      </c>
      <c r="E73" s="3">
        <f>$E$21</f>
        <v>4516.0014684210528</v>
      </c>
      <c r="F73" s="3">
        <f>$F$21</f>
        <v>4516.0014684210528</v>
      </c>
      <c r="G73" s="3">
        <f>$G$21</f>
        <v>1516.0014684210528</v>
      </c>
      <c r="H73" s="3">
        <f>$H$21</f>
        <v>4516.0014684210528</v>
      </c>
      <c r="I73" s="3">
        <f>$I$21</f>
        <v>4516.0014684210528</v>
      </c>
      <c r="J73" s="3">
        <f>$J$21</f>
        <v>4516.0014684210528</v>
      </c>
      <c r="K73" s="3">
        <f>$K$21</f>
        <v>4516.0014684210528</v>
      </c>
      <c r="L73" s="3">
        <f>$L$21</f>
        <v>4516.0014684210528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4516.0014684210528</v>
      </c>
      <c r="D78" s="3">
        <f>$D$21</f>
        <v>4516.0014684210528</v>
      </c>
      <c r="E78" s="3">
        <f>$E$21</f>
        <v>4516.0014684210528</v>
      </c>
      <c r="F78" s="3">
        <f>$F$21</f>
        <v>4516.0014684210528</v>
      </c>
      <c r="G78" s="3">
        <f>$G$21</f>
        <v>1516.0014684210528</v>
      </c>
      <c r="H78" s="3">
        <f>$H$21</f>
        <v>4516.0014684210528</v>
      </c>
      <c r="I78" s="3">
        <f>$I$21</f>
        <v>4516.0014684210528</v>
      </c>
      <c r="J78" s="3">
        <f>$J$21</f>
        <v>4516.0014684210528</v>
      </c>
      <c r="K78" s="3">
        <f>$K$21</f>
        <v>4516.0014684210528</v>
      </c>
      <c r="L78" s="3">
        <f>$L$21</f>
        <v>4516.0014684210528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4516.0014684210528</v>
      </c>
      <c r="D83" s="3">
        <f>$D$21</f>
        <v>4516.0014684210528</v>
      </c>
      <c r="E83" s="3">
        <f>$E$21</f>
        <v>4516.0014684210528</v>
      </c>
      <c r="F83" s="3">
        <f>$F$21</f>
        <v>4516.0014684210528</v>
      </c>
      <c r="G83" s="3">
        <f>$G$21</f>
        <v>1516.0014684210528</v>
      </c>
      <c r="H83" s="3">
        <f>$H$21</f>
        <v>4516.0014684210528</v>
      </c>
      <c r="I83" s="3">
        <f>$I$21</f>
        <v>4516.0014684210528</v>
      </c>
      <c r="J83" s="3">
        <f>$J$21</f>
        <v>4516.0014684210528</v>
      </c>
      <c r="K83" s="3">
        <f>$K$21</f>
        <v>4516.0014684210528</v>
      </c>
      <c r="L83" s="3">
        <f>$L$21</f>
        <v>4516.0014684210528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4516.0014684210528</v>
      </c>
      <c r="D88" s="3">
        <f>$D$21</f>
        <v>4516.0014684210528</v>
      </c>
      <c r="E88" s="3">
        <f>$E$21</f>
        <v>4516.0014684210528</v>
      </c>
      <c r="F88" s="3">
        <f>$F$21</f>
        <v>4516.0014684210528</v>
      </c>
      <c r="G88" s="3">
        <f>$G$21</f>
        <v>1516.0014684210528</v>
      </c>
      <c r="H88" s="3">
        <f>$H$21</f>
        <v>4516.0014684210528</v>
      </c>
      <c r="I88" s="3">
        <f>$I$21</f>
        <v>4516.0014684210528</v>
      </c>
      <c r="J88" s="3">
        <f>$J$21</f>
        <v>4516.0014684210528</v>
      </c>
      <c r="K88" s="3">
        <f>$K$21</f>
        <v>4516.0014684210528</v>
      </c>
      <c r="L88" s="3">
        <f>$L$21</f>
        <v>4516.0014684210528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4516.0014684210528</v>
      </c>
      <c r="D93" s="3">
        <f>$D$21</f>
        <v>4516.0014684210528</v>
      </c>
      <c r="E93" s="3">
        <f>$E$21</f>
        <v>4516.0014684210528</v>
      </c>
      <c r="F93" s="3">
        <f>$F$21</f>
        <v>4516.0014684210528</v>
      </c>
      <c r="G93" s="3">
        <f>$G$21</f>
        <v>1516.0014684210528</v>
      </c>
      <c r="H93" s="3">
        <f>$H$21</f>
        <v>4516.0014684210528</v>
      </c>
      <c r="I93" s="3">
        <f>$I$21</f>
        <v>4516.0014684210528</v>
      </c>
      <c r="J93" s="3">
        <f>$J$21</f>
        <v>4516.0014684210528</v>
      </c>
      <c r="K93" s="3">
        <f>$K$21</f>
        <v>4516.0014684210528</v>
      </c>
      <c r="L93" s="3">
        <f>$L$21</f>
        <v>4516.0014684210528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4516.0014684210528</v>
      </c>
      <c r="D98" s="3">
        <f>$D$21</f>
        <v>4516.0014684210528</v>
      </c>
      <c r="E98" s="3">
        <f>$E$21</f>
        <v>4516.0014684210528</v>
      </c>
      <c r="F98" s="3">
        <f>$F$21</f>
        <v>4516.0014684210528</v>
      </c>
      <c r="G98" s="3">
        <f>$G$21</f>
        <v>1516.0014684210528</v>
      </c>
      <c r="H98" s="3">
        <f>$H$21</f>
        <v>4516.0014684210528</v>
      </c>
      <c r="I98" s="3">
        <f>$I$21</f>
        <v>4516.0014684210528</v>
      </c>
      <c r="J98" s="3">
        <f>$J$21</f>
        <v>4516.0014684210528</v>
      </c>
      <c r="K98" s="3">
        <f>$K$21</f>
        <v>4516.0014684210528</v>
      </c>
      <c r="L98" s="3">
        <f>$L$21</f>
        <v>4516.0014684210528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4516.0014684210528</v>
      </c>
      <c r="D103" s="3">
        <f>$D$21</f>
        <v>4516.0014684210528</v>
      </c>
      <c r="E103" s="3">
        <f>$E$21</f>
        <v>4516.0014684210528</v>
      </c>
      <c r="F103" s="3">
        <f>$F$21</f>
        <v>4516.0014684210528</v>
      </c>
      <c r="G103" s="3">
        <f>$G$21</f>
        <v>1516.0014684210528</v>
      </c>
      <c r="H103" s="3">
        <f>$H$21</f>
        <v>4516.0014684210528</v>
      </c>
      <c r="I103" s="3">
        <f>$I$21</f>
        <v>4516.0014684210528</v>
      </c>
      <c r="J103" s="3">
        <f>$J$21</f>
        <v>4516.0014684210528</v>
      </c>
      <c r="K103" s="3">
        <f>$K$21</f>
        <v>4516.0014684210528</v>
      </c>
      <c r="L103" s="3">
        <f>$L$21</f>
        <v>4516.0014684210528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4516.0014684210528</v>
      </c>
      <c r="D108" s="3">
        <f>$D$21</f>
        <v>4516.0014684210528</v>
      </c>
      <c r="E108" s="3">
        <f>$E$21</f>
        <v>4516.0014684210528</v>
      </c>
      <c r="F108" s="3">
        <f>$F$21</f>
        <v>4516.0014684210528</v>
      </c>
      <c r="G108" s="3">
        <f>$G$21</f>
        <v>1516.0014684210528</v>
      </c>
      <c r="H108" s="3">
        <f>$H$21</f>
        <v>4516.0014684210528</v>
      </c>
      <c r="I108" s="3">
        <f>$I$21</f>
        <v>4516.0014684210528</v>
      </c>
      <c r="J108" s="3">
        <f>$J$21</f>
        <v>4516.0014684210528</v>
      </c>
      <c r="K108" s="3">
        <f>$K$21</f>
        <v>4516.0014684210528</v>
      </c>
      <c r="L108" s="3">
        <f>$L$21</f>
        <v>4516.0014684210528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4516.0014684210528</v>
      </c>
      <c r="D113" s="3">
        <f>$D$21</f>
        <v>4516.0014684210528</v>
      </c>
      <c r="E113" s="3">
        <f>$E$21</f>
        <v>4516.0014684210528</v>
      </c>
      <c r="F113" s="3">
        <f>$F$21</f>
        <v>4516.0014684210528</v>
      </c>
      <c r="G113" s="3">
        <f>$G$21</f>
        <v>1516.0014684210528</v>
      </c>
      <c r="H113" s="3">
        <f>$H$21</f>
        <v>4516.0014684210528</v>
      </c>
      <c r="I113" s="3">
        <f>$I$21</f>
        <v>4516.0014684210528</v>
      </c>
      <c r="J113" s="3">
        <f>$J$21</f>
        <v>4516.0014684210528</v>
      </c>
      <c r="K113" s="3">
        <f>$K$21</f>
        <v>4516.0014684210528</v>
      </c>
      <c r="L113" s="3">
        <f>$L$21</f>
        <v>4516.0014684210528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4516.0014684210528</v>
      </c>
      <c r="D118" s="3">
        <f>$D$21</f>
        <v>4516.0014684210528</v>
      </c>
      <c r="E118" s="3">
        <f>$E$21</f>
        <v>4516.0014684210528</v>
      </c>
      <c r="F118" s="3">
        <f>$F$21</f>
        <v>4516.0014684210528</v>
      </c>
      <c r="G118" s="3">
        <f>$G$21</f>
        <v>1516.0014684210528</v>
      </c>
      <c r="H118" s="3">
        <f>$H$21</f>
        <v>4516.0014684210528</v>
      </c>
      <c r="I118" s="3">
        <f>$I$21</f>
        <v>4516.0014684210528</v>
      </c>
      <c r="J118" s="3">
        <f>$J$21</f>
        <v>4516.0014684210528</v>
      </c>
      <c r="K118" s="3">
        <f>$K$21</f>
        <v>4516.0014684210528</v>
      </c>
      <c r="L118" s="3">
        <f>$L$21</f>
        <v>4516.0014684210528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A21A-9A34-445E-8704-E9A0759447DB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0.35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34400.520000000004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15480.234000000002</v>
      </c>
      <c r="D7" s="2">
        <f>$B$3*'IRR inputs &amp; outputs'!$B$13</f>
        <v>15480.234000000002</v>
      </c>
      <c r="E7" s="2">
        <f>$B$3*'IRR inputs &amp; outputs'!$B$13</f>
        <v>15480.234000000002</v>
      </c>
      <c r="F7" s="2">
        <f>$B$3*'IRR inputs &amp; outputs'!$B$13</f>
        <v>15480.234000000002</v>
      </c>
      <c r="G7" s="2">
        <f>$B$3*'IRR inputs &amp; outputs'!$B$13</f>
        <v>15480.234000000002</v>
      </c>
      <c r="H7" s="2">
        <f>$B$3*'IRR inputs &amp; outputs'!$B$13</f>
        <v>15480.234000000002</v>
      </c>
      <c r="I7" s="2">
        <f>$B$3*'IRR inputs &amp; outputs'!$B$13</f>
        <v>15480.234000000002</v>
      </c>
      <c r="J7" s="2">
        <f>$B$3*'IRR inputs &amp; outputs'!$B$13</f>
        <v>15480.234000000002</v>
      </c>
      <c r="K7" s="2">
        <f>$B$3*'IRR inputs &amp; outputs'!$B$13</f>
        <v>15480.234000000002</v>
      </c>
      <c r="L7" s="2">
        <f>$B$3*'IRR inputs &amp; outputs'!$B$13</f>
        <v>15480.234000000002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15480.234000000002</v>
      </c>
      <c r="D9" s="2">
        <f t="shared" si="0"/>
        <v>15480.234000000002</v>
      </c>
      <c r="E9" s="2">
        <f t="shared" si="0"/>
        <v>15480.234000000002</v>
      </c>
      <c r="F9" s="2">
        <f t="shared" si="0"/>
        <v>15480.234000000002</v>
      </c>
      <c r="G9" s="2">
        <f t="shared" si="0"/>
        <v>15480.234000000002</v>
      </c>
      <c r="H9" s="2">
        <f t="shared" si="0"/>
        <v>15480.234000000002</v>
      </c>
      <c r="I9" s="2">
        <f t="shared" si="0"/>
        <v>15480.234000000002</v>
      </c>
      <c r="J9" s="2">
        <f t="shared" si="0"/>
        <v>15480.234000000002</v>
      </c>
      <c r="K9" s="2">
        <f t="shared" si="0"/>
        <v>15480.234000000002</v>
      </c>
      <c r="L9" s="2">
        <f t="shared" si="0"/>
        <v>15480.234000000002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7242.2147368421056</v>
      </c>
      <c r="D16" s="2">
        <f>(1/'IRR inputs &amp; outputs'!$B$8)*$B$3*'IRR inputs &amp; outputs'!$B$9+'IRR inputs &amp; outputs'!$B$10</f>
        <v>7242.2147368421056</v>
      </c>
      <c r="E16" s="2">
        <f>(1/'IRR inputs &amp; outputs'!$B$8)*$B$3*'IRR inputs &amp; outputs'!$B$9+'IRR inputs &amp; outputs'!$B$10</f>
        <v>7242.2147368421056</v>
      </c>
      <c r="F16" s="2">
        <f>(1/'IRR inputs &amp; outputs'!$B$8)*$B$3*'IRR inputs &amp; outputs'!$B$9+'IRR inputs &amp; outputs'!$B$10</f>
        <v>7242.2147368421056</v>
      </c>
      <c r="G16" s="2">
        <f>(1/'IRR inputs &amp; outputs'!$B$8)*$B$3*'IRR inputs &amp; outputs'!$B$9+'IRR inputs &amp; outputs'!$B$10</f>
        <v>7242.2147368421056</v>
      </c>
      <c r="H16" s="2">
        <f>(1/'IRR inputs &amp; outputs'!$B$8)*$B$3*'IRR inputs &amp; outputs'!$B$9+'IRR inputs &amp; outputs'!$B$10</f>
        <v>7242.2147368421056</v>
      </c>
      <c r="I16" s="2">
        <f>(1/'IRR inputs &amp; outputs'!$B$8)*$B$3*'IRR inputs &amp; outputs'!$B$9+'IRR inputs &amp; outputs'!$B$10</f>
        <v>7242.2147368421056</v>
      </c>
      <c r="J16" s="2">
        <f>(1/'IRR inputs &amp; outputs'!$B$8)*$B$3*'IRR inputs &amp; outputs'!$B$9+'IRR inputs &amp; outputs'!$B$10</f>
        <v>7242.2147368421056</v>
      </c>
      <c r="K16" s="2">
        <f>(1/'IRR inputs &amp; outputs'!$B$8)*$B$3*'IRR inputs &amp; outputs'!$B$9+'IRR inputs &amp; outputs'!$B$10</f>
        <v>7242.2147368421056</v>
      </c>
      <c r="L16" s="2">
        <f>(1/'IRR inputs &amp; outputs'!$B$8)*$B$3*'IRR inputs &amp; outputs'!$B$9+'IRR inputs &amp; outputs'!$B$10</f>
        <v>7242.2147368421056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1161.01755</v>
      </c>
      <c r="D18" s="2">
        <f>$B$3*'IRR inputs &amp; outputs'!$B$11*'IRR inputs &amp; outputs'!$B$13</f>
        <v>1161.01755</v>
      </c>
      <c r="E18" s="2">
        <f>$B$3*'IRR inputs &amp; outputs'!$B$11*'IRR inputs &amp; outputs'!$B$13</f>
        <v>1161.01755</v>
      </c>
      <c r="F18" s="2">
        <f>$B$3*'IRR inputs &amp; outputs'!$B$11*'IRR inputs &amp; outputs'!$B$13</f>
        <v>1161.01755</v>
      </c>
      <c r="G18" s="2">
        <f>$B$3*'IRR inputs &amp; outputs'!$B$11*'IRR inputs &amp; outputs'!$B$13</f>
        <v>1161.01755</v>
      </c>
      <c r="H18" s="2">
        <f>$B$3*'IRR inputs &amp; outputs'!$B$11*'IRR inputs &amp; outputs'!$B$13</f>
        <v>1161.01755</v>
      </c>
      <c r="I18" s="2">
        <f>$B$3*'IRR inputs &amp; outputs'!$B$11*'IRR inputs &amp; outputs'!$B$13</f>
        <v>1161.01755</v>
      </c>
      <c r="J18" s="2">
        <f>$B$3*'IRR inputs &amp; outputs'!$B$11*'IRR inputs &amp; outputs'!$B$13</f>
        <v>1161.01755</v>
      </c>
      <c r="K18" s="2">
        <f>$B$3*'IRR inputs &amp; outputs'!$B$11*'IRR inputs &amp; outputs'!$B$13</f>
        <v>1161.01755</v>
      </c>
      <c r="L18" s="2">
        <f>$B$3*'IRR inputs &amp; outputs'!$B$11*'IRR inputs &amp; outputs'!$B$13</f>
        <v>1161.01755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9953.232286842107</v>
      </c>
      <c r="D19" s="3">
        <f t="shared" si="1"/>
        <v>9953.232286842107</v>
      </c>
      <c r="E19" s="3">
        <f t="shared" si="1"/>
        <v>9953.232286842107</v>
      </c>
      <c r="F19" s="3">
        <f t="shared" si="1"/>
        <v>9953.232286842107</v>
      </c>
      <c r="G19" s="3">
        <f t="shared" si="1"/>
        <v>12953.232286842107</v>
      </c>
      <c r="H19" s="3">
        <f t="shared" si="1"/>
        <v>9953.232286842107</v>
      </c>
      <c r="I19" s="3">
        <f t="shared" si="1"/>
        <v>9953.232286842107</v>
      </c>
      <c r="J19" s="3">
        <f t="shared" si="1"/>
        <v>9953.232286842107</v>
      </c>
      <c r="K19" s="3">
        <f t="shared" si="1"/>
        <v>9953.232286842107</v>
      </c>
      <c r="L19" s="3">
        <f t="shared" si="1"/>
        <v>9953.232286842107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5527.0017131578952</v>
      </c>
      <c r="D21" s="3">
        <f t="shared" si="2"/>
        <v>5527.0017131578952</v>
      </c>
      <c r="E21" s="3">
        <f t="shared" si="2"/>
        <v>5527.0017131578952</v>
      </c>
      <c r="F21" s="3">
        <f t="shared" si="2"/>
        <v>5527.0017131578952</v>
      </c>
      <c r="G21" s="3">
        <f t="shared" si="2"/>
        <v>2527.0017131578952</v>
      </c>
      <c r="H21" s="3">
        <f t="shared" si="2"/>
        <v>5527.0017131578952</v>
      </c>
      <c r="I21" s="3">
        <f t="shared" si="2"/>
        <v>5527.0017131578952</v>
      </c>
      <c r="J21" s="3">
        <f t="shared" si="2"/>
        <v>5527.0017131578952</v>
      </c>
      <c r="K21" s="3">
        <f t="shared" si="2"/>
        <v>5527.0017131578952</v>
      </c>
      <c r="L21" s="3">
        <f t="shared" si="2"/>
        <v>5527.0017131578952</v>
      </c>
    </row>
    <row r="23" spans="1:12">
      <c r="A23" t="s">
        <v>25</v>
      </c>
      <c r="B23" s="4">
        <f>IFERROR(IRR(B21:L21),NA())</f>
        <v>11.053742780157558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5527.0017131578952</v>
      </c>
      <c r="D28" s="3">
        <f>$D$21</f>
        <v>5527.0017131578952</v>
      </c>
      <c r="E28" s="3">
        <f>$E$21</f>
        <v>5527.0017131578952</v>
      </c>
      <c r="F28" s="3">
        <f>$F$21</f>
        <v>5527.0017131578952</v>
      </c>
      <c r="G28" s="3">
        <f>$G$21</f>
        <v>2527.0017131578952</v>
      </c>
      <c r="H28" s="3">
        <f>$H$21</f>
        <v>5527.0017131578952</v>
      </c>
      <c r="I28" s="3">
        <f>$I$21</f>
        <v>5527.0017131578952</v>
      </c>
      <c r="J28" s="3">
        <f>$J$21</f>
        <v>5527.0017131578952</v>
      </c>
      <c r="K28" s="3">
        <f>$K$21</f>
        <v>5527.0017131578952</v>
      </c>
      <c r="L28" s="3">
        <f>$L$21</f>
        <v>5527.0017131578952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5527.0017131578952</v>
      </c>
      <c r="D33" s="3">
        <f>$D$21</f>
        <v>5527.0017131578952</v>
      </c>
      <c r="E33" s="3">
        <f>$E$21</f>
        <v>5527.0017131578952</v>
      </c>
      <c r="F33" s="3">
        <f>$F$21</f>
        <v>5527.0017131578952</v>
      </c>
      <c r="G33" s="3">
        <f>$G$21</f>
        <v>2527.0017131578952</v>
      </c>
      <c r="H33" s="3">
        <f>$H$21</f>
        <v>5527.0017131578952</v>
      </c>
      <c r="I33" s="3">
        <f>$I$21</f>
        <v>5527.0017131578952</v>
      </c>
      <c r="J33" s="3">
        <f>$J$21</f>
        <v>5527.0017131578952</v>
      </c>
      <c r="K33" s="3">
        <f>$K$21</f>
        <v>5527.0017131578952</v>
      </c>
      <c r="L33" s="3">
        <f>$L$21</f>
        <v>5527.0017131578952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5527.0017131578952</v>
      </c>
      <c r="D38" s="3">
        <f>$D$21</f>
        <v>5527.0017131578952</v>
      </c>
      <c r="E38" s="3">
        <f>$E$21</f>
        <v>5527.0017131578952</v>
      </c>
      <c r="F38" s="3">
        <f>$F$21</f>
        <v>5527.0017131578952</v>
      </c>
      <c r="G38" s="3">
        <f>$G$21</f>
        <v>2527.0017131578952</v>
      </c>
      <c r="H38" s="3">
        <f>$H$21</f>
        <v>5527.0017131578952</v>
      </c>
      <c r="I38" s="3">
        <f>$I$21</f>
        <v>5527.0017131578952</v>
      </c>
      <c r="J38" s="3">
        <f>$J$21</f>
        <v>5527.0017131578952</v>
      </c>
      <c r="K38" s="3">
        <f>$K$21</f>
        <v>5527.0017131578952</v>
      </c>
      <c r="L38" s="3">
        <f>$L$21</f>
        <v>5527.0017131578952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5527.0017131578952</v>
      </c>
      <c r="D43" s="3">
        <f>$D$21</f>
        <v>5527.0017131578952</v>
      </c>
      <c r="E43" s="3">
        <f>$E$21</f>
        <v>5527.0017131578952</v>
      </c>
      <c r="F43" s="3">
        <f>$F$21</f>
        <v>5527.0017131578952</v>
      </c>
      <c r="G43" s="3">
        <f>$G$21</f>
        <v>2527.0017131578952</v>
      </c>
      <c r="H43" s="3">
        <f>$H$21</f>
        <v>5527.0017131578952</v>
      </c>
      <c r="I43" s="3">
        <f>$I$21</f>
        <v>5527.0017131578952</v>
      </c>
      <c r="J43" s="3">
        <f>$J$21</f>
        <v>5527.0017131578952</v>
      </c>
      <c r="K43" s="3">
        <f>$K$21</f>
        <v>5527.0017131578952</v>
      </c>
      <c r="L43" s="3">
        <f>$L$21</f>
        <v>5527.0017131578952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5527.0017131578952</v>
      </c>
      <c r="D48" s="3">
        <f>$D$21</f>
        <v>5527.0017131578952</v>
      </c>
      <c r="E48" s="3">
        <f>$E$21</f>
        <v>5527.0017131578952</v>
      </c>
      <c r="F48" s="3">
        <f>$F$21</f>
        <v>5527.0017131578952</v>
      </c>
      <c r="G48" s="3">
        <f>$G$21</f>
        <v>2527.0017131578952</v>
      </c>
      <c r="H48" s="3">
        <f>$H$21</f>
        <v>5527.0017131578952</v>
      </c>
      <c r="I48" s="3">
        <f>$I$21</f>
        <v>5527.0017131578952</v>
      </c>
      <c r="J48" s="3">
        <f>$J$21</f>
        <v>5527.0017131578952</v>
      </c>
      <c r="K48" s="3">
        <f>$K$21</f>
        <v>5527.0017131578952</v>
      </c>
      <c r="L48" s="3">
        <f>$L$21</f>
        <v>5527.0017131578952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5527.0017131578952</v>
      </c>
      <c r="D53" s="3">
        <f>$D$21</f>
        <v>5527.0017131578952</v>
      </c>
      <c r="E53" s="3">
        <f>$E$21</f>
        <v>5527.0017131578952</v>
      </c>
      <c r="F53" s="3">
        <f>$F$21</f>
        <v>5527.0017131578952</v>
      </c>
      <c r="G53" s="3">
        <f>$G$21</f>
        <v>2527.0017131578952</v>
      </c>
      <c r="H53" s="3">
        <f>$H$21</f>
        <v>5527.0017131578952</v>
      </c>
      <c r="I53" s="3">
        <f>$I$21</f>
        <v>5527.0017131578952</v>
      </c>
      <c r="J53" s="3">
        <f>$J$21</f>
        <v>5527.0017131578952</v>
      </c>
      <c r="K53" s="3">
        <f>$K$21</f>
        <v>5527.0017131578952</v>
      </c>
      <c r="L53" s="3">
        <f>$L$21</f>
        <v>5527.0017131578952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5527.0017131578952</v>
      </c>
      <c r="D58" s="3">
        <f>$D$21</f>
        <v>5527.0017131578952</v>
      </c>
      <c r="E58" s="3">
        <f>$E$21</f>
        <v>5527.0017131578952</v>
      </c>
      <c r="F58" s="3">
        <f>$F$21</f>
        <v>5527.0017131578952</v>
      </c>
      <c r="G58" s="3">
        <f>$G$21</f>
        <v>2527.0017131578952</v>
      </c>
      <c r="H58" s="3">
        <f>$H$21</f>
        <v>5527.0017131578952</v>
      </c>
      <c r="I58" s="3">
        <f>$I$21</f>
        <v>5527.0017131578952</v>
      </c>
      <c r="J58" s="3">
        <f>$J$21</f>
        <v>5527.0017131578952</v>
      </c>
      <c r="K58" s="3">
        <f>$K$21</f>
        <v>5527.0017131578952</v>
      </c>
      <c r="L58" s="3">
        <f>$L$21</f>
        <v>5527.0017131578952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5527.0017131578952</v>
      </c>
      <c r="D63" s="3">
        <f>$D$21</f>
        <v>5527.0017131578952</v>
      </c>
      <c r="E63" s="3">
        <f>$E$21</f>
        <v>5527.0017131578952</v>
      </c>
      <c r="F63" s="3">
        <f>$F$21</f>
        <v>5527.0017131578952</v>
      </c>
      <c r="G63" s="3">
        <f>$G$21</f>
        <v>2527.0017131578952</v>
      </c>
      <c r="H63" s="3">
        <f>$H$21</f>
        <v>5527.0017131578952</v>
      </c>
      <c r="I63" s="3">
        <f>$I$21</f>
        <v>5527.0017131578952</v>
      </c>
      <c r="J63" s="3">
        <f>$J$21</f>
        <v>5527.0017131578952</v>
      </c>
      <c r="K63" s="3">
        <f>$K$21</f>
        <v>5527.0017131578952</v>
      </c>
      <c r="L63" s="3">
        <f>$L$21</f>
        <v>5527.0017131578952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5527.0017131578952</v>
      </c>
      <c r="D68" s="3">
        <f>$D$21</f>
        <v>5527.0017131578952</v>
      </c>
      <c r="E68" s="3">
        <f>$E$21</f>
        <v>5527.0017131578952</v>
      </c>
      <c r="F68" s="3">
        <f>$F$21</f>
        <v>5527.0017131578952</v>
      </c>
      <c r="G68" s="3">
        <f>$G$21</f>
        <v>2527.0017131578952</v>
      </c>
      <c r="H68" s="3">
        <f>$H$21</f>
        <v>5527.0017131578952</v>
      </c>
      <c r="I68" s="3">
        <f>$I$21</f>
        <v>5527.0017131578952</v>
      </c>
      <c r="J68" s="3">
        <f>$J$21</f>
        <v>5527.0017131578952</v>
      </c>
      <c r="K68" s="3">
        <f>$K$21</f>
        <v>5527.0017131578952</v>
      </c>
      <c r="L68" s="3">
        <f>$L$21</f>
        <v>5527.0017131578952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5527.0017131578952</v>
      </c>
      <c r="D73" s="3">
        <f>$D$21</f>
        <v>5527.0017131578952</v>
      </c>
      <c r="E73" s="3">
        <f>$E$21</f>
        <v>5527.0017131578952</v>
      </c>
      <c r="F73" s="3">
        <f>$F$21</f>
        <v>5527.0017131578952</v>
      </c>
      <c r="G73" s="3">
        <f>$G$21</f>
        <v>2527.0017131578952</v>
      </c>
      <c r="H73" s="3">
        <f>$H$21</f>
        <v>5527.0017131578952</v>
      </c>
      <c r="I73" s="3">
        <f>$I$21</f>
        <v>5527.0017131578952</v>
      </c>
      <c r="J73" s="3">
        <f>$J$21</f>
        <v>5527.0017131578952</v>
      </c>
      <c r="K73" s="3">
        <f>$K$21</f>
        <v>5527.0017131578952</v>
      </c>
      <c r="L73" s="3">
        <f>$L$21</f>
        <v>5527.0017131578952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5527.0017131578952</v>
      </c>
      <c r="D78" s="3">
        <f>$D$21</f>
        <v>5527.0017131578952</v>
      </c>
      <c r="E78" s="3">
        <f>$E$21</f>
        <v>5527.0017131578952</v>
      </c>
      <c r="F78" s="3">
        <f>$F$21</f>
        <v>5527.0017131578952</v>
      </c>
      <c r="G78" s="3">
        <f>$G$21</f>
        <v>2527.0017131578952</v>
      </c>
      <c r="H78" s="3">
        <f>$H$21</f>
        <v>5527.0017131578952</v>
      </c>
      <c r="I78" s="3">
        <f>$I$21</f>
        <v>5527.0017131578952</v>
      </c>
      <c r="J78" s="3">
        <f>$J$21</f>
        <v>5527.0017131578952</v>
      </c>
      <c r="K78" s="3">
        <f>$K$21</f>
        <v>5527.0017131578952</v>
      </c>
      <c r="L78" s="3">
        <f>$L$21</f>
        <v>5527.0017131578952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5527.0017131578952</v>
      </c>
      <c r="D83" s="3">
        <f>$D$21</f>
        <v>5527.0017131578952</v>
      </c>
      <c r="E83" s="3">
        <f>$E$21</f>
        <v>5527.0017131578952</v>
      </c>
      <c r="F83" s="3">
        <f>$F$21</f>
        <v>5527.0017131578952</v>
      </c>
      <c r="G83" s="3">
        <f>$G$21</f>
        <v>2527.0017131578952</v>
      </c>
      <c r="H83" s="3">
        <f>$H$21</f>
        <v>5527.0017131578952</v>
      </c>
      <c r="I83" s="3">
        <f>$I$21</f>
        <v>5527.0017131578952</v>
      </c>
      <c r="J83" s="3">
        <f>$J$21</f>
        <v>5527.0017131578952</v>
      </c>
      <c r="K83" s="3">
        <f>$K$21</f>
        <v>5527.0017131578952</v>
      </c>
      <c r="L83" s="3">
        <f>$L$21</f>
        <v>5527.0017131578952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5527.0017131578952</v>
      </c>
      <c r="D88" s="3">
        <f>$D$21</f>
        <v>5527.0017131578952</v>
      </c>
      <c r="E88" s="3">
        <f>$E$21</f>
        <v>5527.0017131578952</v>
      </c>
      <c r="F88" s="3">
        <f>$F$21</f>
        <v>5527.0017131578952</v>
      </c>
      <c r="G88" s="3">
        <f>$G$21</f>
        <v>2527.0017131578952</v>
      </c>
      <c r="H88" s="3">
        <f>$H$21</f>
        <v>5527.0017131578952</v>
      </c>
      <c r="I88" s="3">
        <f>$I$21</f>
        <v>5527.0017131578952</v>
      </c>
      <c r="J88" s="3">
        <f>$J$21</f>
        <v>5527.0017131578952</v>
      </c>
      <c r="K88" s="3">
        <f>$K$21</f>
        <v>5527.0017131578952</v>
      </c>
      <c r="L88" s="3">
        <f>$L$21</f>
        <v>5527.0017131578952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5527.0017131578952</v>
      </c>
      <c r="D93" s="3">
        <f>$D$21</f>
        <v>5527.0017131578952</v>
      </c>
      <c r="E93" s="3">
        <f>$E$21</f>
        <v>5527.0017131578952</v>
      </c>
      <c r="F93" s="3">
        <f>$F$21</f>
        <v>5527.0017131578952</v>
      </c>
      <c r="G93" s="3">
        <f>$G$21</f>
        <v>2527.0017131578952</v>
      </c>
      <c r="H93" s="3">
        <f>$H$21</f>
        <v>5527.0017131578952</v>
      </c>
      <c r="I93" s="3">
        <f>$I$21</f>
        <v>5527.0017131578952</v>
      </c>
      <c r="J93" s="3">
        <f>$J$21</f>
        <v>5527.0017131578952</v>
      </c>
      <c r="K93" s="3">
        <f>$K$21</f>
        <v>5527.0017131578952</v>
      </c>
      <c r="L93" s="3">
        <f>$L$21</f>
        <v>5527.0017131578952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5527.0017131578952</v>
      </c>
      <c r="D98" s="3">
        <f>$D$21</f>
        <v>5527.0017131578952</v>
      </c>
      <c r="E98" s="3">
        <f>$E$21</f>
        <v>5527.0017131578952</v>
      </c>
      <c r="F98" s="3">
        <f>$F$21</f>
        <v>5527.0017131578952</v>
      </c>
      <c r="G98" s="3">
        <f>$G$21</f>
        <v>2527.0017131578952</v>
      </c>
      <c r="H98" s="3">
        <f>$H$21</f>
        <v>5527.0017131578952</v>
      </c>
      <c r="I98" s="3">
        <f>$I$21</f>
        <v>5527.0017131578952</v>
      </c>
      <c r="J98" s="3">
        <f>$J$21</f>
        <v>5527.0017131578952</v>
      </c>
      <c r="K98" s="3">
        <f>$K$21</f>
        <v>5527.0017131578952</v>
      </c>
      <c r="L98" s="3">
        <f>$L$21</f>
        <v>5527.0017131578952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5527.0017131578952</v>
      </c>
      <c r="D103" s="3">
        <f>$D$21</f>
        <v>5527.0017131578952</v>
      </c>
      <c r="E103" s="3">
        <f>$E$21</f>
        <v>5527.0017131578952</v>
      </c>
      <c r="F103" s="3">
        <f>$F$21</f>
        <v>5527.0017131578952</v>
      </c>
      <c r="G103" s="3">
        <f>$G$21</f>
        <v>2527.0017131578952</v>
      </c>
      <c r="H103" s="3">
        <f>$H$21</f>
        <v>5527.0017131578952</v>
      </c>
      <c r="I103" s="3">
        <f>$I$21</f>
        <v>5527.0017131578952</v>
      </c>
      <c r="J103" s="3">
        <f>$J$21</f>
        <v>5527.0017131578952</v>
      </c>
      <c r="K103" s="3">
        <f>$K$21</f>
        <v>5527.0017131578952</v>
      </c>
      <c r="L103" s="3">
        <f>$L$21</f>
        <v>5527.0017131578952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5527.0017131578952</v>
      </c>
      <c r="D108" s="3">
        <f>$D$21</f>
        <v>5527.0017131578952</v>
      </c>
      <c r="E108" s="3">
        <f>$E$21</f>
        <v>5527.0017131578952</v>
      </c>
      <c r="F108" s="3">
        <f>$F$21</f>
        <v>5527.0017131578952</v>
      </c>
      <c r="G108" s="3">
        <f>$G$21</f>
        <v>2527.0017131578952</v>
      </c>
      <c r="H108" s="3">
        <f>$H$21</f>
        <v>5527.0017131578952</v>
      </c>
      <c r="I108" s="3">
        <f>$I$21</f>
        <v>5527.0017131578952</v>
      </c>
      <c r="J108" s="3">
        <f>$J$21</f>
        <v>5527.0017131578952</v>
      </c>
      <c r="K108" s="3">
        <f>$K$21</f>
        <v>5527.0017131578952</v>
      </c>
      <c r="L108" s="3">
        <f>$L$21</f>
        <v>5527.0017131578952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5527.0017131578952</v>
      </c>
      <c r="D113" s="3">
        <f>$D$21</f>
        <v>5527.0017131578952</v>
      </c>
      <c r="E113" s="3">
        <f>$E$21</f>
        <v>5527.0017131578952</v>
      </c>
      <c r="F113" s="3">
        <f>$F$21</f>
        <v>5527.0017131578952</v>
      </c>
      <c r="G113" s="3">
        <f>$G$21</f>
        <v>2527.0017131578952</v>
      </c>
      <c r="H113" s="3">
        <f>$H$21</f>
        <v>5527.0017131578952</v>
      </c>
      <c r="I113" s="3">
        <f>$I$21</f>
        <v>5527.0017131578952</v>
      </c>
      <c r="J113" s="3">
        <f>$J$21</f>
        <v>5527.0017131578952</v>
      </c>
      <c r="K113" s="3">
        <f>$K$21</f>
        <v>5527.0017131578952</v>
      </c>
      <c r="L113" s="3">
        <f>$L$21</f>
        <v>5527.0017131578952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5527.0017131578952</v>
      </c>
      <c r="D118" s="3">
        <f>$D$21</f>
        <v>5527.0017131578952</v>
      </c>
      <c r="E118" s="3">
        <f>$E$21</f>
        <v>5527.0017131578952</v>
      </c>
      <c r="F118" s="3">
        <f>$F$21</f>
        <v>5527.0017131578952</v>
      </c>
      <c r="G118" s="3">
        <f>$G$21</f>
        <v>2527.0017131578952</v>
      </c>
      <c r="H118" s="3">
        <f>$H$21</f>
        <v>5527.0017131578952</v>
      </c>
      <c r="I118" s="3">
        <f>$I$21</f>
        <v>5527.0017131578952</v>
      </c>
      <c r="J118" s="3">
        <f>$J$21</f>
        <v>5527.0017131578952</v>
      </c>
      <c r="K118" s="3">
        <f>$K$21</f>
        <v>5527.0017131578952</v>
      </c>
      <c r="L118" s="3">
        <f>$L$21</f>
        <v>5527.0017131578952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C5BC-F285-45A1-BC53-8D476C4F45F8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0.4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39314.879999999997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17691.696</v>
      </c>
      <c r="D7" s="2">
        <f>$B$3*'IRR inputs &amp; outputs'!$B$13</f>
        <v>17691.696</v>
      </c>
      <c r="E7" s="2">
        <f>$B$3*'IRR inputs &amp; outputs'!$B$13</f>
        <v>17691.696</v>
      </c>
      <c r="F7" s="2">
        <f>$B$3*'IRR inputs &amp; outputs'!$B$13</f>
        <v>17691.696</v>
      </c>
      <c r="G7" s="2">
        <f>$B$3*'IRR inputs &amp; outputs'!$B$13</f>
        <v>17691.696</v>
      </c>
      <c r="H7" s="2">
        <f>$B$3*'IRR inputs &amp; outputs'!$B$13</f>
        <v>17691.696</v>
      </c>
      <c r="I7" s="2">
        <f>$B$3*'IRR inputs &amp; outputs'!$B$13</f>
        <v>17691.696</v>
      </c>
      <c r="J7" s="2">
        <f>$B$3*'IRR inputs &amp; outputs'!$B$13</f>
        <v>17691.696</v>
      </c>
      <c r="K7" s="2">
        <f>$B$3*'IRR inputs &amp; outputs'!$B$13</f>
        <v>17691.696</v>
      </c>
      <c r="L7" s="2">
        <f>$B$3*'IRR inputs &amp; outputs'!$B$13</f>
        <v>17691.696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17691.696</v>
      </c>
      <c r="D9" s="2">
        <f t="shared" si="0"/>
        <v>17691.696</v>
      </c>
      <c r="E9" s="2">
        <f t="shared" si="0"/>
        <v>17691.696</v>
      </c>
      <c r="F9" s="2">
        <f t="shared" si="0"/>
        <v>17691.696</v>
      </c>
      <c r="G9" s="2">
        <f t="shared" si="0"/>
        <v>17691.696</v>
      </c>
      <c r="H9" s="2">
        <f t="shared" si="0"/>
        <v>17691.696</v>
      </c>
      <c r="I9" s="2">
        <f t="shared" si="0"/>
        <v>17691.696</v>
      </c>
      <c r="J9" s="2">
        <f t="shared" si="0"/>
        <v>17691.696</v>
      </c>
      <c r="K9" s="2">
        <f t="shared" si="0"/>
        <v>17691.696</v>
      </c>
      <c r="L9" s="2">
        <f t="shared" si="0"/>
        <v>17691.696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8276.8168421052615</v>
      </c>
      <c r="D16" s="2">
        <f>(1/'IRR inputs &amp; outputs'!$B$8)*$B$3*'IRR inputs &amp; outputs'!$B$9+'IRR inputs &amp; outputs'!$B$10</f>
        <v>8276.8168421052615</v>
      </c>
      <c r="E16" s="2">
        <f>(1/'IRR inputs &amp; outputs'!$B$8)*$B$3*'IRR inputs &amp; outputs'!$B$9+'IRR inputs &amp; outputs'!$B$10</f>
        <v>8276.8168421052615</v>
      </c>
      <c r="F16" s="2">
        <f>(1/'IRR inputs &amp; outputs'!$B$8)*$B$3*'IRR inputs &amp; outputs'!$B$9+'IRR inputs &amp; outputs'!$B$10</f>
        <v>8276.8168421052615</v>
      </c>
      <c r="G16" s="2">
        <f>(1/'IRR inputs &amp; outputs'!$B$8)*$B$3*'IRR inputs &amp; outputs'!$B$9+'IRR inputs &amp; outputs'!$B$10</f>
        <v>8276.8168421052615</v>
      </c>
      <c r="H16" s="2">
        <f>(1/'IRR inputs &amp; outputs'!$B$8)*$B$3*'IRR inputs &amp; outputs'!$B$9+'IRR inputs &amp; outputs'!$B$10</f>
        <v>8276.8168421052615</v>
      </c>
      <c r="I16" s="2">
        <f>(1/'IRR inputs &amp; outputs'!$B$8)*$B$3*'IRR inputs &amp; outputs'!$B$9+'IRR inputs &amp; outputs'!$B$10</f>
        <v>8276.8168421052615</v>
      </c>
      <c r="J16" s="2">
        <f>(1/'IRR inputs &amp; outputs'!$B$8)*$B$3*'IRR inputs &amp; outputs'!$B$9+'IRR inputs &amp; outputs'!$B$10</f>
        <v>8276.8168421052615</v>
      </c>
      <c r="K16" s="2">
        <f>(1/'IRR inputs &amp; outputs'!$B$8)*$B$3*'IRR inputs &amp; outputs'!$B$9+'IRR inputs &amp; outputs'!$B$10</f>
        <v>8276.8168421052615</v>
      </c>
      <c r="L16" s="2">
        <f>(1/'IRR inputs &amp; outputs'!$B$8)*$B$3*'IRR inputs &amp; outputs'!$B$9+'IRR inputs &amp; outputs'!$B$10</f>
        <v>8276.8168421052615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1326.8771999999999</v>
      </c>
      <c r="D18" s="2">
        <f>$B$3*'IRR inputs &amp; outputs'!$B$11*'IRR inputs &amp; outputs'!$B$13</f>
        <v>1326.8771999999999</v>
      </c>
      <c r="E18" s="2">
        <f>$B$3*'IRR inputs &amp; outputs'!$B$11*'IRR inputs &amp; outputs'!$B$13</f>
        <v>1326.8771999999999</v>
      </c>
      <c r="F18" s="2">
        <f>$B$3*'IRR inputs &amp; outputs'!$B$11*'IRR inputs &amp; outputs'!$B$13</f>
        <v>1326.8771999999999</v>
      </c>
      <c r="G18" s="2">
        <f>$B$3*'IRR inputs &amp; outputs'!$B$11*'IRR inputs &amp; outputs'!$B$13</f>
        <v>1326.8771999999999</v>
      </c>
      <c r="H18" s="2">
        <f>$B$3*'IRR inputs &amp; outputs'!$B$11*'IRR inputs &amp; outputs'!$B$13</f>
        <v>1326.8771999999999</v>
      </c>
      <c r="I18" s="2">
        <f>$B$3*'IRR inputs &amp; outputs'!$B$11*'IRR inputs &amp; outputs'!$B$13</f>
        <v>1326.8771999999999</v>
      </c>
      <c r="J18" s="2">
        <f>$B$3*'IRR inputs &amp; outputs'!$B$11*'IRR inputs &amp; outputs'!$B$13</f>
        <v>1326.8771999999999</v>
      </c>
      <c r="K18" s="2">
        <f>$B$3*'IRR inputs &amp; outputs'!$B$11*'IRR inputs &amp; outputs'!$B$13</f>
        <v>1326.8771999999999</v>
      </c>
      <c r="L18" s="2">
        <f>$B$3*'IRR inputs &amp; outputs'!$B$11*'IRR inputs &amp; outputs'!$B$13</f>
        <v>1326.8771999999999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11153.69404210526</v>
      </c>
      <c r="D19" s="3">
        <f t="shared" si="1"/>
        <v>11153.69404210526</v>
      </c>
      <c r="E19" s="3">
        <f t="shared" si="1"/>
        <v>11153.69404210526</v>
      </c>
      <c r="F19" s="3">
        <f t="shared" si="1"/>
        <v>11153.69404210526</v>
      </c>
      <c r="G19" s="3">
        <f t="shared" si="1"/>
        <v>14153.69404210526</v>
      </c>
      <c r="H19" s="3">
        <f t="shared" si="1"/>
        <v>11153.69404210526</v>
      </c>
      <c r="I19" s="3">
        <f t="shared" si="1"/>
        <v>11153.69404210526</v>
      </c>
      <c r="J19" s="3">
        <f t="shared" si="1"/>
        <v>11153.69404210526</v>
      </c>
      <c r="K19" s="3">
        <f t="shared" si="1"/>
        <v>11153.69404210526</v>
      </c>
      <c r="L19" s="3">
        <f t="shared" si="1"/>
        <v>11153.69404210526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6538.0019578947395</v>
      </c>
      <c r="D21" s="3">
        <f t="shared" si="2"/>
        <v>6538.0019578947395</v>
      </c>
      <c r="E21" s="3">
        <f t="shared" si="2"/>
        <v>6538.0019578947395</v>
      </c>
      <c r="F21" s="3">
        <f t="shared" si="2"/>
        <v>6538.0019578947395</v>
      </c>
      <c r="G21" s="3">
        <f t="shared" si="2"/>
        <v>3538.0019578947395</v>
      </c>
      <c r="H21" s="3">
        <f t="shared" si="2"/>
        <v>6538.0019578947395</v>
      </c>
      <c r="I21" s="3">
        <f t="shared" si="2"/>
        <v>6538.0019578947395</v>
      </c>
      <c r="J21" s="3">
        <f t="shared" si="2"/>
        <v>6538.0019578947395</v>
      </c>
      <c r="K21" s="3">
        <f t="shared" si="2"/>
        <v>6538.0019578947395</v>
      </c>
      <c r="L21" s="3">
        <f t="shared" si="2"/>
        <v>6538.0019578947395</v>
      </c>
    </row>
    <row r="23" spans="1:12">
      <c r="A23" t="s">
        <v>25</v>
      </c>
      <c r="B23" s="4">
        <f>IFERROR(IRR(B21:L21),NA())</f>
        <v>13.075861929342373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6538.0019578947395</v>
      </c>
      <c r="D28" s="3">
        <f>$D$21</f>
        <v>6538.0019578947395</v>
      </c>
      <c r="E28" s="3">
        <f>$E$21</f>
        <v>6538.0019578947395</v>
      </c>
      <c r="F28" s="3">
        <f>$F$21</f>
        <v>6538.0019578947395</v>
      </c>
      <c r="G28" s="3">
        <f>$G$21</f>
        <v>3538.0019578947395</v>
      </c>
      <c r="H28" s="3">
        <f>$H$21</f>
        <v>6538.0019578947395</v>
      </c>
      <c r="I28" s="3">
        <f>$I$21</f>
        <v>6538.0019578947395</v>
      </c>
      <c r="J28" s="3">
        <f>$J$21</f>
        <v>6538.0019578947395</v>
      </c>
      <c r="K28" s="3">
        <f>$K$21</f>
        <v>6538.0019578947395</v>
      </c>
      <c r="L28" s="3">
        <f>$L$21</f>
        <v>6538.0019578947395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6538.0019578947395</v>
      </c>
      <c r="D33" s="3">
        <f>$D$21</f>
        <v>6538.0019578947395</v>
      </c>
      <c r="E33" s="3">
        <f>$E$21</f>
        <v>6538.0019578947395</v>
      </c>
      <c r="F33" s="3">
        <f>$F$21</f>
        <v>6538.0019578947395</v>
      </c>
      <c r="G33" s="3">
        <f>$G$21</f>
        <v>3538.0019578947395</v>
      </c>
      <c r="H33" s="3">
        <f>$H$21</f>
        <v>6538.0019578947395</v>
      </c>
      <c r="I33" s="3">
        <f>$I$21</f>
        <v>6538.0019578947395</v>
      </c>
      <c r="J33" s="3">
        <f>$J$21</f>
        <v>6538.0019578947395</v>
      </c>
      <c r="K33" s="3">
        <f>$K$21</f>
        <v>6538.0019578947395</v>
      </c>
      <c r="L33" s="3">
        <f>$L$21</f>
        <v>6538.0019578947395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6538.0019578947395</v>
      </c>
      <c r="D38" s="3">
        <f>$D$21</f>
        <v>6538.0019578947395</v>
      </c>
      <c r="E38" s="3">
        <f>$E$21</f>
        <v>6538.0019578947395</v>
      </c>
      <c r="F38" s="3">
        <f>$F$21</f>
        <v>6538.0019578947395</v>
      </c>
      <c r="G38" s="3">
        <f>$G$21</f>
        <v>3538.0019578947395</v>
      </c>
      <c r="H38" s="3">
        <f>$H$21</f>
        <v>6538.0019578947395</v>
      </c>
      <c r="I38" s="3">
        <f>$I$21</f>
        <v>6538.0019578947395</v>
      </c>
      <c r="J38" s="3">
        <f>$J$21</f>
        <v>6538.0019578947395</v>
      </c>
      <c r="K38" s="3">
        <f>$K$21</f>
        <v>6538.0019578947395</v>
      </c>
      <c r="L38" s="3">
        <f>$L$21</f>
        <v>6538.0019578947395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6538.0019578947395</v>
      </c>
      <c r="D43" s="3">
        <f>$D$21</f>
        <v>6538.0019578947395</v>
      </c>
      <c r="E43" s="3">
        <f>$E$21</f>
        <v>6538.0019578947395</v>
      </c>
      <c r="F43" s="3">
        <f>$F$21</f>
        <v>6538.0019578947395</v>
      </c>
      <c r="G43" s="3">
        <f>$G$21</f>
        <v>3538.0019578947395</v>
      </c>
      <c r="H43" s="3">
        <f>$H$21</f>
        <v>6538.0019578947395</v>
      </c>
      <c r="I43" s="3">
        <f>$I$21</f>
        <v>6538.0019578947395</v>
      </c>
      <c r="J43" s="3">
        <f>$J$21</f>
        <v>6538.0019578947395</v>
      </c>
      <c r="K43" s="3">
        <f>$K$21</f>
        <v>6538.0019578947395</v>
      </c>
      <c r="L43" s="3">
        <f>$L$21</f>
        <v>6538.0019578947395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6538.0019578947395</v>
      </c>
      <c r="D48" s="3">
        <f>$D$21</f>
        <v>6538.0019578947395</v>
      </c>
      <c r="E48" s="3">
        <f>$E$21</f>
        <v>6538.0019578947395</v>
      </c>
      <c r="F48" s="3">
        <f>$F$21</f>
        <v>6538.0019578947395</v>
      </c>
      <c r="G48" s="3">
        <f>$G$21</f>
        <v>3538.0019578947395</v>
      </c>
      <c r="H48" s="3">
        <f>$H$21</f>
        <v>6538.0019578947395</v>
      </c>
      <c r="I48" s="3">
        <f>$I$21</f>
        <v>6538.0019578947395</v>
      </c>
      <c r="J48" s="3">
        <f>$J$21</f>
        <v>6538.0019578947395</v>
      </c>
      <c r="K48" s="3">
        <f>$K$21</f>
        <v>6538.0019578947395</v>
      </c>
      <c r="L48" s="3">
        <f>$L$21</f>
        <v>6538.0019578947395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6538.0019578947395</v>
      </c>
      <c r="D53" s="3">
        <f>$D$21</f>
        <v>6538.0019578947395</v>
      </c>
      <c r="E53" s="3">
        <f>$E$21</f>
        <v>6538.0019578947395</v>
      </c>
      <c r="F53" s="3">
        <f>$F$21</f>
        <v>6538.0019578947395</v>
      </c>
      <c r="G53" s="3">
        <f>$G$21</f>
        <v>3538.0019578947395</v>
      </c>
      <c r="H53" s="3">
        <f>$H$21</f>
        <v>6538.0019578947395</v>
      </c>
      <c r="I53" s="3">
        <f>$I$21</f>
        <v>6538.0019578947395</v>
      </c>
      <c r="J53" s="3">
        <f>$J$21</f>
        <v>6538.0019578947395</v>
      </c>
      <c r="K53" s="3">
        <f>$K$21</f>
        <v>6538.0019578947395</v>
      </c>
      <c r="L53" s="3">
        <f>$L$21</f>
        <v>6538.0019578947395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6538.0019578947395</v>
      </c>
      <c r="D58" s="3">
        <f>$D$21</f>
        <v>6538.0019578947395</v>
      </c>
      <c r="E58" s="3">
        <f>$E$21</f>
        <v>6538.0019578947395</v>
      </c>
      <c r="F58" s="3">
        <f>$F$21</f>
        <v>6538.0019578947395</v>
      </c>
      <c r="G58" s="3">
        <f>$G$21</f>
        <v>3538.0019578947395</v>
      </c>
      <c r="H58" s="3">
        <f>$H$21</f>
        <v>6538.0019578947395</v>
      </c>
      <c r="I58" s="3">
        <f>$I$21</f>
        <v>6538.0019578947395</v>
      </c>
      <c r="J58" s="3">
        <f>$J$21</f>
        <v>6538.0019578947395</v>
      </c>
      <c r="K58" s="3">
        <f>$K$21</f>
        <v>6538.0019578947395</v>
      </c>
      <c r="L58" s="3">
        <f>$L$21</f>
        <v>6538.0019578947395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6538.0019578947395</v>
      </c>
      <c r="D63" s="3">
        <f>$D$21</f>
        <v>6538.0019578947395</v>
      </c>
      <c r="E63" s="3">
        <f>$E$21</f>
        <v>6538.0019578947395</v>
      </c>
      <c r="F63" s="3">
        <f>$F$21</f>
        <v>6538.0019578947395</v>
      </c>
      <c r="G63" s="3">
        <f>$G$21</f>
        <v>3538.0019578947395</v>
      </c>
      <c r="H63" s="3">
        <f>$H$21</f>
        <v>6538.0019578947395</v>
      </c>
      <c r="I63" s="3">
        <f>$I$21</f>
        <v>6538.0019578947395</v>
      </c>
      <c r="J63" s="3">
        <f>$J$21</f>
        <v>6538.0019578947395</v>
      </c>
      <c r="K63" s="3">
        <f>$K$21</f>
        <v>6538.0019578947395</v>
      </c>
      <c r="L63" s="3">
        <f>$L$21</f>
        <v>6538.0019578947395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6538.0019578947395</v>
      </c>
      <c r="D68" s="3">
        <f>$D$21</f>
        <v>6538.0019578947395</v>
      </c>
      <c r="E68" s="3">
        <f>$E$21</f>
        <v>6538.0019578947395</v>
      </c>
      <c r="F68" s="3">
        <f>$F$21</f>
        <v>6538.0019578947395</v>
      </c>
      <c r="G68" s="3">
        <f>$G$21</f>
        <v>3538.0019578947395</v>
      </c>
      <c r="H68" s="3">
        <f>$H$21</f>
        <v>6538.0019578947395</v>
      </c>
      <c r="I68" s="3">
        <f>$I$21</f>
        <v>6538.0019578947395</v>
      </c>
      <c r="J68" s="3">
        <f>$J$21</f>
        <v>6538.0019578947395</v>
      </c>
      <c r="K68" s="3">
        <f>$K$21</f>
        <v>6538.0019578947395</v>
      </c>
      <c r="L68" s="3">
        <f>$L$21</f>
        <v>6538.0019578947395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6538.0019578947395</v>
      </c>
      <c r="D73" s="3">
        <f>$D$21</f>
        <v>6538.0019578947395</v>
      </c>
      <c r="E73" s="3">
        <f>$E$21</f>
        <v>6538.0019578947395</v>
      </c>
      <c r="F73" s="3">
        <f>$F$21</f>
        <v>6538.0019578947395</v>
      </c>
      <c r="G73" s="3">
        <f>$G$21</f>
        <v>3538.0019578947395</v>
      </c>
      <c r="H73" s="3">
        <f>$H$21</f>
        <v>6538.0019578947395</v>
      </c>
      <c r="I73" s="3">
        <f>$I$21</f>
        <v>6538.0019578947395</v>
      </c>
      <c r="J73" s="3">
        <f>$J$21</f>
        <v>6538.0019578947395</v>
      </c>
      <c r="K73" s="3">
        <f>$K$21</f>
        <v>6538.0019578947395</v>
      </c>
      <c r="L73" s="3">
        <f>$L$21</f>
        <v>6538.0019578947395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6538.0019578947395</v>
      </c>
      <c r="D78" s="3">
        <f>$D$21</f>
        <v>6538.0019578947395</v>
      </c>
      <c r="E78" s="3">
        <f>$E$21</f>
        <v>6538.0019578947395</v>
      </c>
      <c r="F78" s="3">
        <f>$F$21</f>
        <v>6538.0019578947395</v>
      </c>
      <c r="G78" s="3">
        <f>$G$21</f>
        <v>3538.0019578947395</v>
      </c>
      <c r="H78" s="3">
        <f>$H$21</f>
        <v>6538.0019578947395</v>
      </c>
      <c r="I78" s="3">
        <f>$I$21</f>
        <v>6538.0019578947395</v>
      </c>
      <c r="J78" s="3">
        <f>$J$21</f>
        <v>6538.0019578947395</v>
      </c>
      <c r="K78" s="3">
        <f>$K$21</f>
        <v>6538.0019578947395</v>
      </c>
      <c r="L78" s="3">
        <f>$L$21</f>
        <v>6538.0019578947395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6538.0019578947395</v>
      </c>
      <c r="D83" s="3">
        <f>$D$21</f>
        <v>6538.0019578947395</v>
      </c>
      <c r="E83" s="3">
        <f>$E$21</f>
        <v>6538.0019578947395</v>
      </c>
      <c r="F83" s="3">
        <f>$F$21</f>
        <v>6538.0019578947395</v>
      </c>
      <c r="G83" s="3">
        <f>$G$21</f>
        <v>3538.0019578947395</v>
      </c>
      <c r="H83" s="3">
        <f>$H$21</f>
        <v>6538.0019578947395</v>
      </c>
      <c r="I83" s="3">
        <f>$I$21</f>
        <v>6538.0019578947395</v>
      </c>
      <c r="J83" s="3">
        <f>$J$21</f>
        <v>6538.0019578947395</v>
      </c>
      <c r="K83" s="3">
        <f>$K$21</f>
        <v>6538.0019578947395</v>
      </c>
      <c r="L83" s="3">
        <f>$L$21</f>
        <v>6538.0019578947395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6538.0019578947395</v>
      </c>
      <c r="D88" s="3">
        <f>$D$21</f>
        <v>6538.0019578947395</v>
      </c>
      <c r="E88" s="3">
        <f>$E$21</f>
        <v>6538.0019578947395</v>
      </c>
      <c r="F88" s="3">
        <f>$F$21</f>
        <v>6538.0019578947395</v>
      </c>
      <c r="G88" s="3">
        <f>$G$21</f>
        <v>3538.0019578947395</v>
      </c>
      <c r="H88" s="3">
        <f>$H$21</f>
        <v>6538.0019578947395</v>
      </c>
      <c r="I88" s="3">
        <f>$I$21</f>
        <v>6538.0019578947395</v>
      </c>
      <c r="J88" s="3">
        <f>$J$21</f>
        <v>6538.0019578947395</v>
      </c>
      <c r="K88" s="3">
        <f>$K$21</f>
        <v>6538.0019578947395</v>
      </c>
      <c r="L88" s="3">
        <f>$L$21</f>
        <v>6538.0019578947395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6538.0019578947395</v>
      </c>
      <c r="D93" s="3">
        <f>$D$21</f>
        <v>6538.0019578947395</v>
      </c>
      <c r="E93" s="3">
        <f>$E$21</f>
        <v>6538.0019578947395</v>
      </c>
      <c r="F93" s="3">
        <f>$F$21</f>
        <v>6538.0019578947395</v>
      </c>
      <c r="G93" s="3">
        <f>$G$21</f>
        <v>3538.0019578947395</v>
      </c>
      <c r="H93" s="3">
        <f>$H$21</f>
        <v>6538.0019578947395</v>
      </c>
      <c r="I93" s="3">
        <f>$I$21</f>
        <v>6538.0019578947395</v>
      </c>
      <c r="J93" s="3">
        <f>$J$21</f>
        <v>6538.0019578947395</v>
      </c>
      <c r="K93" s="3">
        <f>$K$21</f>
        <v>6538.0019578947395</v>
      </c>
      <c r="L93" s="3">
        <f>$L$21</f>
        <v>6538.0019578947395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6538.0019578947395</v>
      </c>
      <c r="D98" s="3">
        <f>$D$21</f>
        <v>6538.0019578947395</v>
      </c>
      <c r="E98" s="3">
        <f>$E$21</f>
        <v>6538.0019578947395</v>
      </c>
      <c r="F98" s="3">
        <f>$F$21</f>
        <v>6538.0019578947395</v>
      </c>
      <c r="G98" s="3">
        <f>$G$21</f>
        <v>3538.0019578947395</v>
      </c>
      <c r="H98" s="3">
        <f>$H$21</f>
        <v>6538.0019578947395</v>
      </c>
      <c r="I98" s="3">
        <f>$I$21</f>
        <v>6538.0019578947395</v>
      </c>
      <c r="J98" s="3">
        <f>$J$21</f>
        <v>6538.0019578947395</v>
      </c>
      <c r="K98" s="3">
        <f>$K$21</f>
        <v>6538.0019578947395</v>
      </c>
      <c r="L98" s="3">
        <f>$L$21</f>
        <v>6538.0019578947395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6538.0019578947395</v>
      </c>
      <c r="D103" s="3">
        <f>$D$21</f>
        <v>6538.0019578947395</v>
      </c>
      <c r="E103" s="3">
        <f>$E$21</f>
        <v>6538.0019578947395</v>
      </c>
      <c r="F103" s="3">
        <f>$F$21</f>
        <v>6538.0019578947395</v>
      </c>
      <c r="G103" s="3">
        <f>$G$21</f>
        <v>3538.0019578947395</v>
      </c>
      <c r="H103" s="3">
        <f>$H$21</f>
        <v>6538.0019578947395</v>
      </c>
      <c r="I103" s="3">
        <f>$I$21</f>
        <v>6538.0019578947395</v>
      </c>
      <c r="J103" s="3">
        <f>$J$21</f>
        <v>6538.0019578947395</v>
      </c>
      <c r="K103" s="3">
        <f>$K$21</f>
        <v>6538.0019578947395</v>
      </c>
      <c r="L103" s="3">
        <f>$L$21</f>
        <v>6538.0019578947395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6538.0019578947395</v>
      </c>
      <c r="D108" s="3">
        <f>$D$21</f>
        <v>6538.0019578947395</v>
      </c>
      <c r="E108" s="3">
        <f>$E$21</f>
        <v>6538.0019578947395</v>
      </c>
      <c r="F108" s="3">
        <f>$F$21</f>
        <v>6538.0019578947395</v>
      </c>
      <c r="G108" s="3">
        <f>$G$21</f>
        <v>3538.0019578947395</v>
      </c>
      <c r="H108" s="3">
        <f>$H$21</f>
        <v>6538.0019578947395</v>
      </c>
      <c r="I108" s="3">
        <f>$I$21</f>
        <v>6538.0019578947395</v>
      </c>
      <c r="J108" s="3">
        <f>$J$21</f>
        <v>6538.0019578947395</v>
      </c>
      <c r="K108" s="3">
        <f>$K$21</f>
        <v>6538.0019578947395</v>
      </c>
      <c r="L108" s="3">
        <f>$L$21</f>
        <v>6538.0019578947395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6538.0019578947395</v>
      </c>
      <c r="D113" s="3">
        <f>$D$21</f>
        <v>6538.0019578947395</v>
      </c>
      <c r="E113" s="3">
        <f>$E$21</f>
        <v>6538.0019578947395</v>
      </c>
      <c r="F113" s="3">
        <f>$F$21</f>
        <v>6538.0019578947395</v>
      </c>
      <c r="G113" s="3">
        <f>$G$21</f>
        <v>3538.0019578947395</v>
      </c>
      <c r="H113" s="3">
        <f>$H$21</f>
        <v>6538.0019578947395</v>
      </c>
      <c r="I113" s="3">
        <f>$I$21</f>
        <v>6538.0019578947395</v>
      </c>
      <c r="J113" s="3">
        <f>$J$21</f>
        <v>6538.0019578947395</v>
      </c>
      <c r="K113" s="3">
        <f>$K$21</f>
        <v>6538.0019578947395</v>
      </c>
      <c r="L113" s="3">
        <f>$L$21</f>
        <v>6538.0019578947395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6538.0019578947395</v>
      </c>
      <c r="D118" s="3">
        <f>$D$21</f>
        <v>6538.0019578947395</v>
      </c>
      <c r="E118" s="3">
        <f>$E$21</f>
        <v>6538.0019578947395</v>
      </c>
      <c r="F118" s="3">
        <f>$F$21</f>
        <v>6538.0019578947395</v>
      </c>
      <c r="G118" s="3">
        <f>$G$21</f>
        <v>3538.0019578947395</v>
      </c>
      <c r="H118" s="3">
        <f>$H$21</f>
        <v>6538.0019578947395</v>
      </c>
      <c r="I118" s="3">
        <f>$I$21</f>
        <v>6538.0019578947395</v>
      </c>
      <c r="J118" s="3">
        <f>$J$21</f>
        <v>6538.0019578947395</v>
      </c>
      <c r="K118" s="3">
        <f>$K$21</f>
        <v>6538.0019578947395</v>
      </c>
      <c r="L118" s="3">
        <f>$L$21</f>
        <v>6538.0019578947395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C7F0-1804-4E47-8790-DE92EA647BB9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0.45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44229.24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19903.157999999999</v>
      </c>
      <c r="D7" s="2">
        <f>$B$3*'IRR inputs &amp; outputs'!$B$13</f>
        <v>19903.157999999999</v>
      </c>
      <c r="E7" s="2">
        <f>$B$3*'IRR inputs &amp; outputs'!$B$13</f>
        <v>19903.157999999999</v>
      </c>
      <c r="F7" s="2">
        <f>$B$3*'IRR inputs &amp; outputs'!$B$13</f>
        <v>19903.157999999999</v>
      </c>
      <c r="G7" s="2">
        <f>$B$3*'IRR inputs &amp; outputs'!$B$13</f>
        <v>19903.157999999999</v>
      </c>
      <c r="H7" s="2">
        <f>$B$3*'IRR inputs &amp; outputs'!$B$13</f>
        <v>19903.157999999999</v>
      </c>
      <c r="I7" s="2">
        <f>$B$3*'IRR inputs &amp; outputs'!$B$13</f>
        <v>19903.157999999999</v>
      </c>
      <c r="J7" s="2">
        <f>$B$3*'IRR inputs &amp; outputs'!$B$13</f>
        <v>19903.157999999999</v>
      </c>
      <c r="K7" s="2">
        <f>$B$3*'IRR inputs &amp; outputs'!$B$13</f>
        <v>19903.157999999999</v>
      </c>
      <c r="L7" s="2">
        <f>$B$3*'IRR inputs &amp; outputs'!$B$13</f>
        <v>19903.157999999999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19903.157999999999</v>
      </c>
      <c r="D9" s="2">
        <f t="shared" si="0"/>
        <v>19903.157999999999</v>
      </c>
      <c r="E9" s="2">
        <f t="shared" si="0"/>
        <v>19903.157999999999</v>
      </c>
      <c r="F9" s="2">
        <f t="shared" si="0"/>
        <v>19903.157999999999</v>
      </c>
      <c r="G9" s="2">
        <f t="shared" si="0"/>
        <v>19903.157999999999</v>
      </c>
      <c r="H9" s="2">
        <f t="shared" si="0"/>
        <v>19903.157999999999</v>
      </c>
      <c r="I9" s="2">
        <f t="shared" si="0"/>
        <v>19903.157999999999</v>
      </c>
      <c r="J9" s="2">
        <f t="shared" si="0"/>
        <v>19903.157999999999</v>
      </c>
      <c r="K9" s="2">
        <f t="shared" si="0"/>
        <v>19903.157999999999</v>
      </c>
      <c r="L9" s="2">
        <f t="shared" si="0"/>
        <v>19903.157999999999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9311.4189473684219</v>
      </c>
      <c r="D16" s="2">
        <f>(1/'IRR inputs &amp; outputs'!$B$8)*$B$3*'IRR inputs &amp; outputs'!$B$9+'IRR inputs &amp; outputs'!$B$10</f>
        <v>9311.4189473684219</v>
      </c>
      <c r="E16" s="2">
        <f>(1/'IRR inputs &amp; outputs'!$B$8)*$B$3*'IRR inputs &amp; outputs'!$B$9+'IRR inputs &amp; outputs'!$B$10</f>
        <v>9311.4189473684219</v>
      </c>
      <c r="F16" s="2">
        <f>(1/'IRR inputs &amp; outputs'!$B$8)*$B$3*'IRR inputs &amp; outputs'!$B$9+'IRR inputs &amp; outputs'!$B$10</f>
        <v>9311.4189473684219</v>
      </c>
      <c r="G16" s="2">
        <f>(1/'IRR inputs &amp; outputs'!$B$8)*$B$3*'IRR inputs &amp; outputs'!$B$9+'IRR inputs &amp; outputs'!$B$10</f>
        <v>9311.4189473684219</v>
      </c>
      <c r="H16" s="2">
        <f>(1/'IRR inputs &amp; outputs'!$B$8)*$B$3*'IRR inputs &amp; outputs'!$B$9+'IRR inputs &amp; outputs'!$B$10</f>
        <v>9311.4189473684219</v>
      </c>
      <c r="I16" s="2">
        <f>(1/'IRR inputs &amp; outputs'!$B$8)*$B$3*'IRR inputs &amp; outputs'!$B$9+'IRR inputs &amp; outputs'!$B$10</f>
        <v>9311.4189473684219</v>
      </c>
      <c r="J16" s="2">
        <f>(1/'IRR inputs &amp; outputs'!$B$8)*$B$3*'IRR inputs &amp; outputs'!$B$9+'IRR inputs &amp; outputs'!$B$10</f>
        <v>9311.4189473684219</v>
      </c>
      <c r="K16" s="2">
        <f>(1/'IRR inputs &amp; outputs'!$B$8)*$B$3*'IRR inputs &amp; outputs'!$B$9+'IRR inputs &amp; outputs'!$B$10</f>
        <v>9311.4189473684219</v>
      </c>
      <c r="L16" s="2">
        <f>(1/'IRR inputs &amp; outputs'!$B$8)*$B$3*'IRR inputs &amp; outputs'!$B$9+'IRR inputs &amp; outputs'!$B$10</f>
        <v>9311.4189473684219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1492.73685</v>
      </c>
      <c r="D18" s="2">
        <f>$B$3*'IRR inputs &amp; outputs'!$B$11*'IRR inputs &amp; outputs'!$B$13</f>
        <v>1492.73685</v>
      </c>
      <c r="E18" s="2">
        <f>$B$3*'IRR inputs &amp; outputs'!$B$11*'IRR inputs &amp; outputs'!$B$13</f>
        <v>1492.73685</v>
      </c>
      <c r="F18" s="2">
        <f>$B$3*'IRR inputs &amp; outputs'!$B$11*'IRR inputs &amp; outputs'!$B$13</f>
        <v>1492.73685</v>
      </c>
      <c r="G18" s="2">
        <f>$B$3*'IRR inputs &amp; outputs'!$B$11*'IRR inputs &amp; outputs'!$B$13</f>
        <v>1492.73685</v>
      </c>
      <c r="H18" s="2">
        <f>$B$3*'IRR inputs &amp; outputs'!$B$11*'IRR inputs &amp; outputs'!$B$13</f>
        <v>1492.73685</v>
      </c>
      <c r="I18" s="2">
        <f>$B$3*'IRR inputs &amp; outputs'!$B$11*'IRR inputs &amp; outputs'!$B$13</f>
        <v>1492.73685</v>
      </c>
      <c r="J18" s="2">
        <f>$B$3*'IRR inputs &amp; outputs'!$B$11*'IRR inputs &amp; outputs'!$B$13</f>
        <v>1492.73685</v>
      </c>
      <c r="K18" s="2">
        <f>$B$3*'IRR inputs &amp; outputs'!$B$11*'IRR inputs &amp; outputs'!$B$13</f>
        <v>1492.73685</v>
      </c>
      <c r="L18" s="2">
        <f>$B$3*'IRR inputs &amp; outputs'!$B$11*'IRR inputs &amp; outputs'!$B$13</f>
        <v>1492.73685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12354.155797368421</v>
      </c>
      <c r="D19" s="3">
        <f t="shared" si="1"/>
        <v>12354.155797368421</v>
      </c>
      <c r="E19" s="3">
        <f t="shared" si="1"/>
        <v>12354.155797368421</v>
      </c>
      <c r="F19" s="3">
        <f t="shared" si="1"/>
        <v>12354.155797368421</v>
      </c>
      <c r="G19" s="3">
        <f t="shared" si="1"/>
        <v>15354.155797368421</v>
      </c>
      <c r="H19" s="3">
        <f t="shared" si="1"/>
        <v>12354.155797368421</v>
      </c>
      <c r="I19" s="3">
        <f t="shared" si="1"/>
        <v>12354.155797368421</v>
      </c>
      <c r="J19" s="3">
        <f t="shared" si="1"/>
        <v>12354.155797368421</v>
      </c>
      <c r="K19" s="3">
        <f t="shared" si="1"/>
        <v>12354.155797368421</v>
      </c>
      <c r="L19" s="3">
        <f t="shared" si="1"/>
        <v>12354.155797368421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7549.0022026315783</v>
      </c>
      <c r="D21" s="3">
        <f t="shared" si="2"/>
        <v>7549.0022026315783</v>
      </c>
      <c r="E21" s="3">
        <f t="shared" si="2"/>
        <v>7549.0022026315783</v>
      </c>
      <c r="F21" s="3">
        <f t="shared" si="2"/>
        <v>7549.0022026315783</v>
      </c>
      <c r="G21" s="3">
        <f t="shared" si="2"/>
        <v>4549.0022026315783</v>
      </c>
      <c r="H21" s="3">
        <f t="shared" si="2"/>
        <v>7549.0022026315783</v>
      </c>
      <c r="I21" s="3">
        <f t="shared" si="2"/>
        <v>7549.0022026315783</v>
      </c>
      <c r="J21" s="3">
        <f t="shared" si="2"/>
        <v>7549.0022026315783</v>
      </c>
      <c r="K21" s="3">
        <f t="shared" si="2"/>
        <v>7549.0022026315783</v>
      </c>
      <c r="L21" s="3">
        <f t="shared" si="2"/>
        <v>7549.0022026315783</v>
      </c>
    </row>
    <row r="23" spans="1:12">
      <c r="A23" t="s">
        <v>25</v>
      </c>
      <c r="B23" s="4">
        <f>IFERROR(IRR(B21:L21),NA())</f>
        <v>15.097920609866133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7549.0022026315783</v>
      </c>
      <c r="D28" s="3">
        <f>$D$21</f>
        <v>7549.0022026315783</v>
      </c>
      <c r="E28" s="3">
        <f>$E$21</f>
        <v>7549.0022026315783</v>
      </c>
      <c r="F28" s="3">
        <f>$F$21</f>
        <v>7549.0022026315783</v>
      </c>
      <c r="G28" s="3">
        <f>$G$21</f>
        <v>4549.0022026315783</v>
      </c>
      <c r="H28" s="3">
        <f>$H$21</f>
        <v>7549.0022026315783</v>
      </c>
      <c r="I28" s="3">
        <f>$I$21</f>
        <v>7549.0022026315783</v>
      </c>
      <c r="J28" s="3">
        <f>$J$21</f>
        <v>7549.0022026315783</v>
      </c>
      <c r="K28" s="3">
        <f>$K$21</f>
        <v>7549.0022026315783</v>
      </c>
      <c r="L28" s="3">
        <f>$L$21</f>
        <v>7549.0022026315783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7549.0022026315783</v>
      </c>
      <c r="D33" s="3">
        <f>$D$21</f>
        <v>7549.0022026315783</v>
      </c>
      <c r="E33" s="3">
        <f>$E$21</f>
        <v>7549.0022026315783</v>
      </c>
      <c r="F33" s="3">
        <f>$F$21</f>
        <v>7549.0022026315783</v>
      </c>
      <c r="G33" s="3">
        <f>$G$21</f>
        <v>4549.0022026315783</v>
      </c>
      <c r="H33" s="3">
        <f>$H$21</f>
        <v>7549.0022026315783</v>
      </c>
      <c r="I33" s="3">
        <f>$I$21</f>
        <v>7549.0022026315783</v>
      </c>
      <c r="J33" s="3">
        <f>$J$21</f>
        <v>7549.0022026315783</v>
      </c>
      <c r="K33" s="3">
        <f>$K$21</f>
        <v>7549.0022026315783</v>
      </c>
      <c r="L33" s="3">
        <f>$L$21</f>
        <v>7549.0022026315783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7549.0022026315783</v>
      </c>
      <c r="D38" s="3">
        <f>$D$21</f>
        <v>7549.0022026315783</v>
      </c>
      <c r="E38" s="3">
        <f>$E$21</f>
        <v>7549.0022026315783</v>
      </c>
      <c r="F38" s="3">
        <f>$F$21</f>
        <v>7549.0022026315783</v>
      </c>
      <c r="G38" s="3">
        <f>$G$21</f>
        <v>4549.0022026315783</v>
      </c>
      <c r="H38" s="3">
        <f>$H$21</f>
        <v>7549.0022026315783</v>
      </c>
      <c r="I38" s="3">
        <f>$I$21</f>
        <v>7549.0022026315783</v>
      </c>
      <c r="J38" s="3">
        <f>$J$21</f>
        <v>7549.0022026315783</v>
      </c>
      <c r="K38" s="3">
        <f>$K$21</f>
        <v>7549.0022026315783</v>
      </c>
      <c r="L38" s="3">
        <f>$L$21</f>
        <v>7549.0022026315783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7549.0022026315783</v>
      </c>
      <c r="D43" s="3">
        <f>$D$21</f>
        <v>7549.0022026315783</v>
      </c>
      <c r="E43" s="3">
        <f>$E$21</f>
        <v>7549.0022026315783</v>
      </c>
      <c r="F43" s="3">
        <f>$F$21</f>
        <v>7549.0022026315783</v>
      </c>
      <c r="G43" s="3">
        <f>$G$21</f>
        <v>4549.0022026315783</v>
      </c>
      <c r="H43" s="3">
        <f>$H$21</f>
        <v>7549.0022026315783</v>
      </c>
      <c r="I43" s="3">
        <f>$I$21</f>
        <v>7549.0022026315783</v>
      </c>
      <c r="J43" s="3">
        <f>$J$21</f>
        <v>7549.0022026315783</v>
      </c>
      <c r="K43" s="3">
        <f>$K$21</f>
        <v>7549.0022026315783</v>
      </c>
      <c r="L43" s="3">
        <f>$L$21</f>
        <v>7549.0022026315783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7549.0022026315783</v>
      </c>
      <c r="D48" s="3">
        <f>$D$21</f>
        <v>7549.0022026315783</v>
      </c>
      <c r="E48" s="3">
        <f>$E$21</f>
        <v>7549.0022026315783</v>
      </c>
      <c r="F48" s="3">
        <f>$F$21</f>
        <v>7549.0022026315783</v>
      </c>
      <c r="G48" s="3">
        <f>$G$21</f>
        <v>4549.0022026315783</v>
      </c>
      <c r="H48" s="3">
        <f>$H$21</f>
        <v>7549.0022026315783</v>
      </c>
      <c r="I48" s="3">
        <f>$I$21</f>
        <v>7549.0022026315783</v>
      </c>
      <c r="J48" s="3">
        <f>$J$21</f>
        <v>7549.0022026315783</v>
      </c>
      <c r="K48" s="3">
        <f>$K$21</f>
        <v>7549.0022026315783</v>
      </c>
      <c r="L48" s="3">
        <f>$L$21</f>
        <v>7549.0022026315783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7549.0022026315783</v>
      </c>
      <c r="D53" s="3">
        <f>$D$21</f>
        <v>7549.0022026315783</v>
      </c>
      <c r="E53" s="3">
        <f>$E$21</f>
        <v>7549.0022026315783</v>
      </c>
      <c r="F53" s="3">
        <f>$F$21</f>
        <v>7549.0022026315783</v>
      </c>
      <c r="G53" s="3">
        <f>$G$21</f>
        <v>4549.0022026315783</v>
      </c>
      <c r="H53" s="3">
        <f>$H$21</f>
        <v>7549.0022026315783</v>
      </c>
      <c r="I53" s="3">
        <f>$I$21</f>
        <v>7549.0022026315783</v>
      </c>
      <c r="J53" s="3">
        <f>$J$21</f>
        <v>7549.0022026315783</v>
      </c>
      <c r="K53" s="3">
        <f>$K$21</f>
        <v>7549.0022026315783</v>
      </c>
      <c r="L53" s="3">
        <f>$L$21</f>
        <v>7549.0022026315783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7549.0022026315783</v>
      </c>
      <c r="D58" s="3">
        <f>$D$21</f>
        <v>7549.0022026315783</v>
      </c>
      <c r="E58" s="3">
        <f>$E$21</f>
        <v>7549.0022026315783</v>
      </c>
      <c r="F58" s="3">
        <f>$F$21</f>
        <v>7549.0022026315783</v>
      </c>
      <c r="G58" s="3">
        <f>$G$21</f>
        <v>4549.0022026315783</v>
      </c>
      <c r="H58" s="3">
        <f>$H$21</f>
        <v>7549.0022026315783</v>
      </c>
      <c r="I58" s="3">
        <f>$I$21</f>
        <v>7549.0022026315783</v>
      </c>
      <c r="J58" s="3">
        <f>$J$21</f>
        <v>7549.0022026315783</v>
      </c>
      <c r="K58" s="3">
        <f>$K$21</f>
        <v>7549.0022026315783</v>
      </c>
      <c r="L58" s="3">
        <f>$L$21</f>
        <v>7549.0022026315783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7549.0022026315783</v>
      </c>
      <c r="D63" s="3">
        <f>$D$21</f>
        <v>7549.0022026315783</v>
      </c>
      <c r="E63" s="3">
        <f>$E$21</f>
        <v>7549.0022026315783</v>
      </c>
      <c r="F63" s="3">
        <f>$F$21</f>
        <v>7549.0022026315783</v>
      </c>
      <c r="G63" s="3">
        <f>$G$21</f>
        <v>4549.0022026315783</v>
      </c>
      <c r="H63" s="3">
        <f>$H$21</f>
        <v>7549.0022026315783</v>
      </c>
      <c r="I63" s="3">
        <f>$I$21</f>
        <v>7549.0022026315783</v>
      </c>
      <c r="J63" s="3">
        <f>$J$21</f>
        <v>7549.0022026315783</v>
      </c>
      <c r="K63" s="3">
        <f>$K$21</f>
        <v>7549.0022026315783</v>
      </c>
      <c r="L63" s="3">
        <f>$L$21</f>
        <v>7549.0022026315783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7549.0022026315783</v>
      </c>
      <c r="D68" s="3">
        <f>$D$21</f>
        <v>7549.0022026315783</v>
      </c>
      <c r="E68" s="3">
        <f>$E$21</f>
        <v>7549.0022026315783</v>
      </c>
      <c r="F68" s="3">
        <f>$F$21</f>
        <v>7549.0022026315783</v>
      </c>
      <c r="G68" s="3">
        <f>$G$21</f>
        <v>4549.0022026315783</v>
      </c>
      <c r="H68" s="3">
        <f>$H$21</f>
        <v>7549.0022026315783</v>
      </c>
      <c r="I68" s="3">
        <f>$I$21</f>
        <v>7549.0022026315783</v>
      </c>
      <c r="J68" s="3">
        <f>$J$21</f>
        <v>7549.0022026315783</v>
      </c>
      <c r="K68" s="3">
        <f>$K$21</f>
        <v>7549.0022026315783</v>
      </c>
      <c r="L68" s="3">
        <f>$L$21</f>
        <v>7549.0022026315783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7549.0022026315783</v>
      </c>
      <c r="D73" s="3">
        <f>$D$21</f>
        <v>7549.0022026315783</v>
      </c>
      <c r="E73" s="3">
        <f>$E$21</f>
        <v>7549.0022026315783</v>
      </c>
      <c r="F73" s="3">
        <f>$F$21</f>
        <v>7549.0022026315783</v>
      </c>
      <c r="G73" s="3">
        <f>$G$21</f>
        <v>4549.0022026315783</v>
      </c>
      <c r="H73" s="3">
        <f>$H$21</f>
        <v>7549.0022026315783</v>
      </c>
      <c r="I73" s="3">
        <f>$I$21</f>
        <v>7549.0022026315783</v>
      </c>
      <c r="J73" s="3">
        <f>$J$21</f>
        <v>7549.0022026315783</v>
      </c>
      <c r="K73" s="3">
        <f>$K$21</f>
        <v>7549.0022026315783</v>
      </c>
      <c r="L73" s="3">
        <f>$L$21</f>
        <v>7549.0022026315783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7549.0022026315783</v>
      </c>
      <c r="D78" s="3">
        <f>$D$21</f>
        <v>7549.0022026315783</v>
      </c>
      <c r="E78" s="3">
        <f>$E$21</f>
        <v>7549.0022026315783</v>
      </c>
      <c r="F78" s="3">
        <f>$F$21</f>
        <v>7549.0022026315783</v>
      </c>
      <c r="G78" s="3">
        <f>$G$21</f>
        <v>4549.0022026315783</v>
      </c>
      <c r="H78" s="3">
        <f>$H$21</f>
        <v>7549.0022026315783</v>
      </c>
      <c r="I78" s="3">
        <f>$I$21</f>
        <v>7549.0022026315783</v>
      </c>
      <c r="J78" s="3">
        <f>$J$21</f>
        <v>7549.0022026315783</v>
      </c>
      <c r="K78" s="3">
        <f>$K$21</f>
        <v>7549.0022026315783</v>
      </c>
      <c r="L78" s="3">
        <f>$L$21</f>
        <v>7549.0022026315783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7549.0022026315783</v>
      </c>
      <c r="D83" s="3">
        <f>$D$21</f>
        <v>7549.0022026315783</v>
      </c>
      <c r="E83" s="3">
        <f>$E$21</f>
        <v>7549.0022026315783</v>
      </c>
      <c r="F83" s="3">
        <f>$F$21</f>
        <v>7549.0022026315783</v>
      </c>
      <c r="G83" s="3">
        <f>$G$21</f>
        <v>4549.0022026315783</v>
      </c>
      <c r="H83" s="3">
        <f>$H$21</f>
        <v>7549.0022026315783</v>
      </c>
      <c r="I83" s="3">
        <f>$I$21</f>
        <v>7549.0022026315783</v>
      </c>
      <c r="J83" s="3">
        <f>$J$21</f>
        <v>7549.0022026315783</v>
      </c>
      <c r="K83" s="3">
        <f>$K$21</f>
        <v>7549.0022026315783</v>
      </c>
      <c r="L83" s="3">
        <f>$L$21</f>
        <v>7549.0022026315783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7549.0022026315783</v>
      </c>
      <c r="D88" s="3">
        <f>$D$21</f>
        <v>7549.0022026315783</v>
      </c>
      <c r="E88" s="3">
        <f>$E$21</f>
        <v>7549.0022026315783</v>
      </c>
      <c r="F88" s="3">
        <f>$F$21</f>
        <v>7549.0022026315783</v>
      </c>
      <c r="G88" s="3">
        <f>$G$21</f>
        <v>4549.0022026315783</v>
      </c>
      <c r="H88" s="3">
        <f>$H$21</f>
        <v>7549.0022026315783</v>
      </c>
      <c r="I88" s="3">
        <f>$I$21</f>
        <v>7549.0022026315783</v>
      </c>
      <c r="J88" s="3">
        <f>$J$21</f>
        <v>7549.0022026315783</v>
      </c>
      <c r="K88" s="3">
        <f>$K$21</f>
        <v>7549.0022026315783</v>
      </c>
      <c r="L88" s="3">
        <f>$L$21</f>
        <v>7549.0022026315783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7549.0022026315783</v>
      </c>
      <c r="D93" s="3">
        <f>$D$21</f>
        <v>7549.0022026315783</v>
      </c>
      <c r="E93" s="3">
        <f>$E$21</f>
        <v>7549.0022026315783</v>
      </c>
      <c r="F93" s="3">
        <f>$F$21</f>
        <v>7549.0022026315783</v>
      </c>
      <c r="G93" s="3">
        <f>$G$21</f>
        <v>4549.0022026315783</v>
      </c>
      <c r="H93" s="3">
        <f>$H$21</f>
        <v>7549.0022026315783</v>
      </c>
      <c r="I93" s="3">
        <f>$I$21</f>
        <v>7549.0022026315783</v>
      </c>
      <c r="J93" s="3">
        <f>$J$21</f>
        <v>7549.0022026315783</v>
      </c>
      <c r="K93" s="3">
        <f>$K$21</f>
        <v>7549.0022026315783</v>
      </c>
      <c r="L93" s="3">
        <f>$L$21</f>
        <v>7549.0022026315783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7549.0022026315783</v>
      </c>
      <c r="D98" s="3">
        <f>$D$21</f>
        <v>7549.0022026315783</v>
      </c>
      <c r="E98" s="3">
        <f>$E$21</f>
        <v>7549.0022026315783</v>
      </c>
      <c r="F98" s="3">
        <f>$F$21</f>
        <v>7549.0022026315783</v>
      </c>
      <c r="G98" s="3">
        <f>$G$21</f>
        <v>4549.0022026315783</v>
      </c>
      <c r="H98" s="3">
        <f>$H$21</f>
        <v>7549.0022026315783</v>
      </c>
      <c r="I98" s="3">
        <f>$I$21</f>
        <v>7549.0022026315783</v>
      </c>
      <c r="J98" s="3">
        <f>$J$21</f>
        <v>7549.0022026315783</v>
      </c>
      <c r="K98" s="3">
        <f>$K$21</f>
        <v>7549.0022026315783</v>
      </c>
      <c r="L98" s="3">
        <f>$L$21</f>
        <v>7549.0022026315783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7549.0022026315783</v>
      </c>
      <c r="D103" s="3">
        <f>$D$21</f>
        <v>7549.0022026315783</v>
      </c>
      <c r="E103" s="3">
        <f>$E$21</f>
        <v>7549.0022026315783</v>
      </c>
      <c r="F103" s="3">
        <f>$F$21</f>
        <v>7549.0022026315783</v>
      </c>
      <c r="G103" s="3">
        <f>$G$21</f>
        <v>4549.0022026315783</v>
      </c>
      <c r="H103" s="3">
        <f>$H$21</f>
        <v>7549.0022026315783</v>
      </c>
      <c r="I103" s="3">
        <f>$I$21</f>
        <v>7549.0022026315783</v>
      </c>
      <c r="J103" s="3">
        <f>$J$21</f>
        <v>7549.0022026315783</v>
      </c>
      <c r="K103" s="3">
        <f>$K$21</f>
        <v>7549.0022026315783</v>
      </c>
      <c r="L103" s="3">
        <f>$L$21</f>
        <v>7549.0022026315783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7549.0022026315783</v>
      </c>
      <c r="D108" s="3">
        <f>$D$21</f>
        <v>7549.0022026315783</v>
      </c>
      <c r="E108" s="3">
        <f>$E$21</f>
        <v>7549.0022026315783</v>
      </c>
      <c r="F108" s="3">
        <f>$F$21</f>
        <v>7549.0022026315783</v>
      </c>
      <c r="G108" s="3">
        <f>$G$21</f>
        <v>4549.0022026315783</v>
      </c>
      <c r="H108" s="3">
        <f>$H$21</f>
        <v>7549.0022026315783</v>
      </c>
      <c r="I108" s="3">
        <f>$I$21</f>
        <v>7549.0022026315783</v>
      </c>
      <c r="J108" s="3">
        <f>$J$21</f>
        <v>7549.0022026315783</v>
      </c>
      <c r="K108" s="3">
        <f>$K$21</f>
        <v>7549.0022026315783</v>
      </c>
      <c r="L108" s="3">
        <f>$L$21</f>
        <v>7549.0022026315783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7549.0022026315783</v>
      </c>
      <c r="D113" s="3">
        <f>$D$21</f>
        <v>7549.0022026315783</v>
      </c>
      <c r="E113" s="3">
        <f>$E$21</f>
        <v>7549.0022026315783</v>
      </c>
      <c r="F113" s="3">
        <f>$F$21</f>
        <v>7549.0022026315783</v>
      </c>
      <c r="G113" s="3">
        <f>$G$21</f>
        <v>4549.0022026315783</v>
      </c>
      <c r="H113" s="3">
        <f>$H$21</f>
        <v>7549.0022026315783</v>
      </c>
      <c r="I113" s="3">
        <f>$I$21</f>
        <v>7549.0022026315783</v>
      </c>
      <c r="J113" s="3">
        <f>$J$21</f>
        <v>7549.0022026315783</v>
      </c>
      <c r="K113" s="3">
        <f>$K$21</f>
        <v>7549.0022026315783</v>
      </c>
      <c r="L113" s="3">
        <f>$L$21</f>
        <v>7549.0022026315783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7549.0022026315783</v>
      </c>
      <c r="D118" s="3">
        <f>$D$21</f>
        <v>7549.0022026315783</v>
      </c>
      <c r="E118" s="3">
        <f>$E$21</f>
        <v>7549.0022026315783</v>
      </c>
      <c r="F118" s="3">
        <f>$F$21</f>
        <v>7549.0022026315783</v>
      </c>
      <c r="G118" s="3">
        <f>$G$21</f>
        <v>4549.0022026315783</v>
      </c>
      <c r="H118" s="3">
        <f>$H$21</f>
        <v>7549.0022026315783</v>
      </c>
      <c r="I118" s="3">
        <f>$I$21</f>
        <v>7549.0022026315783</v>
      </c>
      <c r="J118" s="3">
        <f>$J$21</f>
        <v>7549.0022026315783</v>
      </c>
      <c r="K118" s="3">
        <f>$K$21</f>
        <v>7549.0022026315783</v>
      </c>
      <c r="L118" s="3">
        <f>$L$21</f>
        <v>7549.0022026315783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66A1-B0E7-4CDD-B46A-6871F9F1B1F0}">
  <dimension ref="A1:T126"/>
  <sheetViews>
    <sheetView workbookViewId="0">
      <selection activeCell="A17" sqref="A17:L18"/>
    </sheetView>
  </sheetViews>
  <sheetFormatPr defaultRowHeight="14.25"/>
  <cols>
    <col min="1" max="1" width="14.7109375" bestFit="1" customWidth="1"/>
  </cols>
  <sheetData>
    <row r="1" spans="1:15">
      <c r="A1" s="1" t="s">
        <v>24</v>
      </c>
      <c r="B1" s="5">
        <v>0.5</v>
      </c>
    </row>
    <row r="2" spans="1:15">
      <c r="A2" t="s">
        <v>41</v>
      </c>
      <c r="B2">
        <f>24*365</f>
        <v>8760</v>
      </c>
    </row>
    <row r="3" spans="1:15">
      <c r="A3" t="s">
        <v>42</v>
      </c>
      <c r="B3">
        <f>B2*B1*'IRR inputs &amp; outputs'!B2*'IRR inputs &amp; outputs'!B3*'IRR inputs &amp; outputs'!$B$7</f>
        <v>49143.6</v>
      </c>
      <c r="C3" t="s">
        <v>43</v>
      </c>
    </row>
    <row r="5" spans="1:15">
      <c r="A5" s="1" t="s">
        <v>44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15">
      <c r="A6" s="1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5">
      <c r="A7" t="s">
        <v>46</v>
      </c>
      <c r="B7" s="2"/>
      <c r="C7" s="2">
        <f>$B$3*'IRR inputs &amp; outputs'!$B$13</f>
        <v>22114.62</v>
      </c>
      <c r="D7" s="2">
        <f>$B$3*'IRR inputs &amp; outputs'!$B$13</f>
        <v>22114.62</v>
      </c>
      <c r="E7" s="2">
        <f>$B$3*'IRR inputs &amp; outputs'!$B$13</f>
        <v>22114.62</v>
      </c>
      <c r="F7" s="2">
        <f>$B$3*'IRR inputs &amp; outputs'!$B$13</f>
        <v>22114.62</v>
      </c>
      <c r="G7" s="2">
        <f>$B$3*'IRR inputs &amp; outputs'!$B$13</f>
        <v>22114.62</v>
      </c>
      <c r="H7" s="2">
        <f>$B$3*'IRR inputs &amp; outputs'!$B$13</f>
        <v>22114.62</v>
      </c>
      <c r="I7" s="2">
        <f>$B$3*'IRR inputs &amp; outputs'!$B$13</f>
        <v>22114.62</v>
      </c>
      <c r="J7" s="2">
        <f>$B$3*'IRR inputs &amp; outputs'!$B$13</f>
        <v>22114.62</v>
      </c>
      <c r="K7" s="2">
        <f>$B$3*'IRR inputs &amp; outputs'!$B$13</f>
        <v>22114.62</v>
      </c>
      <c r="L7" s="2">
        <f>$B$3*'IRR inputs &amp; outputs'!$B$13</f>
        <v>22114.62</v>
      </c>
    </row>
    <row r="8" spans="1: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O8" s="1"/>
    </row>
    <row r="9" spans="1:15">
      <c r="A9" t="s">
        <v>47</v>
      </c>
      <c r="B9" s="2"/>
      <c r="C9" s="2">
        <f t="shared" ref="C9:L9" si="0">SUM(C7:C8)</f>
        <v>22114.62</v>
      </c>
      <c r="D9" s="2">
        <f t="shared" si="0"/>
        <v>22114.62</v>
      </c>
      <c r="E9" s="2">
        <f t="shared" si="0"/>
        <v>22114.62</v>
      </c>
      <c r="F9" s="2">
        <f t="shared" si="0"/>
        <v>22114.62</v>
      </c>
      <c r="G9" s="2">
        <f t="shared" si="0"/>
        <v>22114.62</v>
      </c>
      <c r="H9" s="2">
        <f t="shared" si="0"/>
        <v>22114.62</v>
      </c>
      <c r="I9" s="2">
        <f t="shared" si="0"/>
        <v>22114.62</v>
      </c>
      <c r="J9" s="2">
        <f t="shared" si="0"/>
        <v>22114.62</v>
      </c>
      <c r="K9" s="2">
        <f t="shared" si="0"/>
        <v>22114.62</v>
      </c>
      <c r="L9" s="2">
        <f t="shared" si="0"/>
        <v>22114.62</v>
      </c>
    </row>
    <row r="10" spans="1:1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5">
      <c r="A11" s="1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5">
      <c r="A12" t="s">
        <v>7</v>
      </c>
      <c r="B12" s="2">
        <f>'IRR inputs &amp; outputs'!B6</f>
        <v>0</v>
      </c>
      <c r="C12" s="2"/>
      <c r="D12" s="2"/>
      <c r="E12" s="2"/>
      <c r="F12" s="2"/>
      <c r="G12" s="2">
        <f>'IRR inputs &amp; outputs'!B15</f>
        <v>3000</v>
      </c>
      <c r="H12" s="2"/>
      <c r="I12" s="2"/>
      <c r="J12" s="2"/>
      <c r="K12" s="2"/>
      <c r="L12" s="2"/>
    </row>
    <row r="13" spans="1:15">
      <c r="A13" t="s">
        <v>49</v>
      </c>
      <c r="B13" s="2">
        <f>'IRR inputs &amp; outputs'!B16</f>
        <v>500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5">
      <c r="A14" t="s">
        <v>50</v>
      </c>
      <c r="B14" s="2"/>
      <c r="C14" s="2">
        <f>'IRR inputs &amp; outputs'!$B$17</f>
        <v>750</v>
      </c>
      <c r="D14" s="2">
        <f>'IRR inputs &amp; outputs'!$B$17</f>
        <v>750</v>
      </c>
      <c r="E14" s="2">
        <f>'IRR inputs &amp; outputs'!$B$17</f>
        <v>750</v>
      </c>
      <c r="F14" s="2">
        <f>'IRR inputs &amp; outputs'!$B$17</f>
        <v>750</v>
      </c>
      <c r="G14" s="2">
        <f>'IRR inputs &amp; outputs'!$B$17</f>
        <v>750</v>
      </c>
      <c r="H14" s="2">
        <f>'IRR inputs &amp; outputs'!$B$17</f>
        <v>750</v>
      </c>
      <c r="I14" s="2">
        <f>'IRR inputs &amp; outputs'!$B$17</f>
        <v>750</v>
      </c>
      <c r="J14" s="2">
        <f>'IRR inputs &amp; outputs'!$B$17</f>
        <v>750</v>
      </c>
      <c r="K14" s="2">
        <f>'IRR inputs &amp; outputs'!$B$17</f>
        <v>750</v>
      </c>
      <c r="L14" s="2">
        <f>'IRR inputs &amp; outputs'!$B$17</f>
        <v>750</v>
      </c>
    </row>
    <row r="15" spans="1:15">
      <c r="A15" t="s">
        <v>51</v>
      </c>
      <c r="B15" s="2"/>
      <c r="C15" s="2">
        <f>'IRR inputs &amp; outputs'!B14</f>
        <v>500</v>
      </c>
      <c r="D15" s="2">
        <f>'IRR inputs &amp; outputs'!B14</f>
        <v>500</v>
      </c>
      <c r="E15" s="2">
        <f>'IRR inputs &amp; outputs'!B14</f>
        <v>500</v>
      </c>
      <c r="F15" s="2">
        <f>'IRR inputs &amp; outputs'!B14</f>
        <v>500</v>
      </c>
      <c r="G15" s="2">
        <f>'IRR inputs &amp; outputs'!B14</f>
        <v>500</v>
      </c>
      <c r="H15" s="2">
        <f>'IRR inputs &amp; outputs'!B14</f>
        <v>500</v>
      </c>
      <c r="I15" s="2">
        <f>'IRR inputs &amp; outputs'!B14</f>
        <v>500</v>
      </c>
      <c r="J15" s="2">
        <f>'IRR inputs &amp; outputs'!B14</f>
        <v>500</v>
      </c>
      <c r="K15" s="2">
        <f>'IRR inputs &amp; outputs'!B14</f>
        <v>500</v>
      </c>
      <c r="L15" s="2">
        <f>'IRR inputs &amp; outputs'!B14</f>
        <v>500</v>
      </c>
    </row>
    <row r="16" spans="1:15">
      <c r="A16" t="s">
        <v>52</v>
      </c>
      <c r="B16" s="2"/>
      <c r="C16" s="2">
        <f>(1/'IRR inputs &amp; outputs'!$B$8)*$B$3*'IRR inputs &amp; outputs'!$B$9+'IRR inputs &amp; outputs'!$B$10</f>
        <v>10346.021052631579</v>
      </c>
      <c r="D16" s="2">
        <f>(1/'IRR inputs &amp; outputs'!$B$8)*$B$3*'IRR inputs &amp; outputs'!$B$9+'IRR inputs &amp; outputs'!$B$10</f>
        <v>10346.021052631579</v>
      </c>
      <c r="E16" s="2">
        <f>(1/'IRR inputs &amp; outputs'!$B$8)*$B$3*'IRR inputs &amp; outputs'!$B$9+'IRR inputs &amp; outputs'!$B$10</f>
        <v>10346.021052631579</v>
      </c>
      <c r="F16" s="2">
        <f>(1/'IRR inputs &amp; outputs'!$B$8)*$B$3*'IRR inputs &amp; outputs'!$B$9+'IRR inputs &amp; outputs'!$B$10</f>
        <v>10346.021052631579</v>
      </c>
      <c r="G16" s="2">
        <f>(1/'IRR inputs &amp; outputs'!$B$8)*$B$3*'IRR inputs &amp; outputs'!$B$9+'IRR inputs &amp; outputs'!$B$10</f>
        <v>10346.021052631579</v>
      </c>
      <c r="H16" s="2">
        <f>(1/'IRR inputs &amp; outputs'!$B$8)*$B$3*'IRR inputs &amp; outputs'!$B$9+'IRR inputs &amp; outputs'!$B$10</f>
        <v>10346.021052631579</v>
      </c>
      <c r="I16" s="2">
        <f>(1/'IRR inputs &amp; outputs'!$B$8)*$B$3*'IRR inputs &amp; outputs'!$B$9+'IRR inputs &amp; outputs'!$B$10</f>
        <v>10346.021052631579</v>
      </c>
      <c r="J16" s="2">
        <f>(1/'IRR inputs &amp; outputs'!$B$8)*$B$3*'IRR inputs &amp; outputs'!$B$9+'IRR inputs &amp; outputs'!$B$10</f>
        <v>10346.021052631579</v>
      </c>
      <c r="K16" s="2">
        <f>(1/'IRR inputs &amp; outputs'!$B$8)*$B$3*'IRR inputs &amp; outputs'!$B$9+'IRR inputs &amp; outputs'!$B$10</f>
        <v>10346.021052631579</v>
      </c>
      <c r="L16" s="2">
        <f>(1/'IRR inputs &amp; outputs'!$B$8)*$B$3*'IRR inputs &amp; outputs'!$B$9+'IRR inputs &amp; outputs'!$B$10</f>
        <v>10346.021052631579</v>
      </c>
    </row>
    <row r="17" spans="1:12">
      <c r="A17" t="s">
        <v>53</v>
      </c>
      <c r="B17" s="2"/>
      <c r="C17" s="45">
        <f>'IRR inputs &amp; outputs'!$B$12</f>
        <v>300</v>
      </c>
      <c r="D17" s="2">
        <f>'IRR inputs &amp; outputs'!$B$12</f>
        <v>300</v>
      </c>
      <c r="E17" s="2">
        <f>'IRR inputs &amp; outputs'!$B$12</f>
        <v>300</v>
      </c>
      <c r="F17" s="2">
        <f>'IRR inputs &amp; outputs'!$B$12</f>
        <v>300</v>
      </c>
      <c r="G17" s="2">
        <f>'IRR inputs &amp; outputs'!$B$12</f>
        <v>300</v>
      </c>
      <c r="H17" s="2">
        <f>'IRR inputs &amp; outputs'!$B$12</f>
        <v>300</v>
      </c>
      <c r="I17" s="2">
        <f>'IRR inputs &amp; outputs'!$B$12</f>
        <v>300</v>
      </c>
      <c r="J17" s="2">
        <f>'IRR inputs &amp; outputs'!$B$12</f>
        <v>300</v>
      </c>
      <c r="K17" s="2">
        <f>'IRR inputs &amp; outputs'!$B$12</f>
        <v>300</v>
      </c>
      <c r="L17" s="2">
        <f>'IRR inputs &amp; outputs'!$B$12</f>
        <v>300</v>
      </c>
    </row>
    <row r="18" spans="1:12">
      <c r="A18" t="s">
        <v>54</v>
      </c>
      <c r="B18" s="2"/>
      <c r="C18" s="2">
        <f>$B$3*'IRR inputs &amp; outputs'!$B$11*'IRR inputs &amp; outputs'!$B$13</f>
        <v>1658.5964999999999</v>
      </c>
      <c r="D18" s="2">
        <f>$B$3*'IRR inputs &amp; outputs'!$B$11*'IRR inputs &amp; outputs'!$B$13</f>
        <v>1658.5964999999999</v>
      </c>
      <c r="E18" s="2">
        <f>$B$3*'IRR inputs &amp; outputs'!$B$11*'IRR inputs &amp; outputs'!$B$13</f>
        <v>1658.5964999999999</v>
      </c>
      <c r="F18" s="2">
        <f>$B$3*'IRR inputs &amp; outputs'!$B$11*'IRR inputs &amp; outputs'!$B$13</f>
        <v>1658.5964999999999</v>
      </c>
      <c r="G18" s="2">
        <f>$B$3*'IRR inputs &amp; outputs'!$B$11*'IRR inputs &amp; outputs'!$B$13</f>
        <v>1658.5964999999999</v>
      </c>
      <c r="H18" s="2">
        <f>$B$3*'IRR inputs &amp; outputs'!$B$11*'IRR inputs &amp; outputs'!$B$13</f>
        <v>1658.5964999999999</v>
      </c>
      <c r="I18" s="2">
        <f>$B$3*'IRR inputs &amp; outputs'!$B$11*'IRR inputs &amp; outputs'!$B$13</f>
        <v>1658.5964999999999</v>
      </c>
      <c r="J18" s="2">
        <f>$B$3*'IRR inputs &amp; outputs'!$B$11*'IRR inputs &amp; outputs'!$B$13</f>
        <v>1658.5964999999999</v>
      </c>
      <c r="K18" s="2">
        <f>$B$3*'IRR inputs &amp; outputs'!$B$11*'IRR inputs &amp; outputs'!$B$13</f>
        <v>1658.5964999999999</v>
      </c>
      <c r="L18" s="2">
        <f>$B$3*'IRR inputs &amp; outputs'!$B$11*'IRR inputs &amp; outputs'!$B$13</f>
        <v>1658.5964999999999</v>
      </c>
    </row>
    <row r="19" spans="1:12">
      <c r="A19" t="s">
        <v>55</v>
      </c>
      <c r="B19" s="3">
        <f t="shared" ref="B19:L19" si="1">SUM(B12:B18)</f>
        <v>500</v>
      </c>
      <c r="C19" s="3">
        <f t="shared" si="1"/>
        <v>13554.617552631578</v>
      </c>
      <c r="D19" s="3">
        <f t="shared" si="1"/>
        <v>13554.617552631578</v>
      </c>
      <c r="E19" s="3">
        <f t="shared" si="1"/>
        <v>13554.617552631578</v>
      </c>
      <c r="F19" s="3">
        <f t="shared" si="1"/>
        <v>13554.617552631578</v>
      </c>
      <c r="G19" s="3">
        <f t="shared" si="1"/>
        <v>16554.617552631578</v>
      </c>
      <c r="H19" s="3">
        <f t="shared" si="1"/>
        <v>13554.617552631578</v>
      </c>
      <c r="I19" s="3">
        <f t="shared" si="1"/>
        <v>13554.617552631578</v>
      </c>
      <c r="J19" s="3">
        <f t="shared" si="1"/>
        <v>13554.617552631578</v>
      </c>
      <c r="K19" s="3">
        <f t="shared" si="1"/>
        <v>13554.617552631578</v>
      </c>
      <c r="L19" s="3">
        <f t="shared" si="1"/>
        <v>13554.617552631578</v>
      </c>
    </row>
    <row r="21" spans="1:12">
      <c r="A21" t="s">
        <v>56</v>
      </c>
      <c r="B21" s="3">
        <f t="shared" ref="B21:L21" si="2">B9-B19</f>
        <v>-500</v>
      </c>
      <c r="C21" s="3">
        <f t="shared" si="2"/>
        <v>8560.0024473684207</v>
      </c>
      <c r="D21" s="3">
        <f t="shared" si="2"/>
        <v>8560.0024473684207</v>
      </c>
      <c r="E21" s="3">
        <f t="shared" si="2"/>
        <v>8560.0024473684207</v>
      </c>
      <c r="F21" s="3">
        <f t="shared" si="2"/>
        <v>8560.0024473684207</v>
      </c>
      <c r="G21" s="3">
        <f t="shared" si="2"/>
        <v>5560.0024473684207</v>
      </c>
      <c r="H21" s="3">
        <f t="shared" si="2"/>
        <v>8560.0024473684207</v>
      </c>
      <c r="I21" s="3">
        <f t="shared" si="2"/>
        <v>8560.0024473684207</v>
      </c>
      <c r="J21" s="3">
        <f t="shared" si="2"/>
        <v>8560.0024473684207</v>
      </c>
      <c r="K21" s="3">
        <f t="shared" si="2"/>
        <v>8560.0024473684207</v>
      </c>
      <c r="L21" s="3">
        <f t="shared" si="2"/>
        <v>8560.0024473684207</v>
      </c>
    </row>
    <row r="23" spans="1:12">
      <c r="A23" t="s">
        <v>25</v>
      </c>
      <c r="B23" s="4">
        <f>IFERROR(IRR(B21:L21),NA())</f>
        <v>17.119952308712499</v>
      </c>
    </row>
    <row r="25" spans="1:12">
      <c r="A25" s="1" t="s">
        <v>57</v>
      </c>
    </row>
    <row r="26" spans="1:12">
      <c r="A26" t="s">
        <v>58</v>
      </c>
      <c r="B26" s="4">
        <v>0.1</v>
      </c>
    </row>
    <row r="27" spans="1:12">
      <c r="A27" t="s">
        <v>59</v>
      </c>
      <c r="B27" s="3">
        <f>$B$12*(1-B26)</f>
        <v>0</v>
      </c>
    </row>
    <row r="28" spans="1:12">
      <c r="A28" s="4" t="s">
        <v>60</v>
      </c>
      <c r="B28" s="3">
        <f>-B27</f>
        <v>0</v>
      </c>
      <c r="C28" s="3">
        <f>$C$21</f>
        <v>8560.0024473684207</v>
      </c>
      <c r="D28" s="3">
        <f>$D$21</f>
        <v>8560.0024473684207</v>
      </c>
      <c r="E28" s="3">
        <f>$E$21</f>
        <v>8560.0024473684207</v>
      </c>
      <c r="F28" s="3">
        <f>$F$21</f>
        <v>8560.0024473684207</v>
      </c>
      <c r="G28" s="3">
        <f>$G$21</f>
        <v>5560.0024473684207</v>
      </c>
      <c r="H28" s="3">
        <f>$H$21</f>
        <v>8560.0024473684207</v>
      </c>
      <c r="I28" s="3">
        <f>$I$21</f>
        <v>8560.0024473684207</v>
      </c>
      <c r="J28" s="3">
        <f>$J$21</f>
        <v>8560.0024473684207</v>
      </c>
      <c r="K28" s="3">
        <f>$K$21</f>
        <v>8560.0024473684207</v>
      </c>
      <c r="L28" s="3">
        <f>$L$21</f>
        <v>8560.0024473684207</v>
      </c>
    </row>
    <row r="29" spans="1:12">
      <c r="A29" s="4" t="s">
        <v>25</v>
      </c>
      <c r="B29" s="4" t="e">
        <f>IFERROR(IRR(B28:L28),NA())</f>
        <v>#N/A</v>
      </c>
    </row>
    <row r="30" spans="1:12">
      <c r="A30" s="4"/>
      <c r="B30" s="3"/>
    </row>
    <row r="31" spans="1:12">
      <c r="A31" t="s">
        <v>58</v>
      </c>
      <c r="B31" s="4">
        <v>0.15</v>
      </c>
    </row>
    <row r="32" spans="1:12">
      <c r="A32" t="s">
        <v>59</v>
      </c>
      <c r="B32" s="3">
        <f>$B$12*(1-B31)</f>
        <v>0</v>
      </c>
    </row>
    <row r="33" spans="1:12">
      <c r="A33" s="4" t="s">
        <v>60</v>
      </c>
      <c r="B33" s="3">
        <f>-B32</f>
        <v>0</v>
      </c>
      <c r="C33" s="3">
        <f>$C$21</f>
        <v>8560.0024473684207</v>
      </c>
      <c r="D33" s="3">
        <f>$D$21</f>
        <v>8560.0024473684207</v>
      </c>
      <c r="E33" s="3">
        <f>$E$21</f>
        <v>8560.0024473684207</v>
      </c>
      <c r="F33" s="3">
        <f>$F$21</f>
        <v>8560.0024473684207</v>
      </c>
      <c r="G33" s="3">
        <f>$G$21</f>
        <v>5560.0024473684207</v>
      </c>
      <c r="H33" s="3">
        <f>$H$21</f>
        <v>8560.0024473684207</v>
      </c>
      <c r="I33" s="3">
        <f>$I$21</f>
        <v>8560.0024473684207</v>
      </c>
      <c r="J33" s="3">
        <f>$J$21</f>
        <v>8560.0024473684207</v>
      </c>
      <c r="K33" s="3">
        <f>$K$21</f>
        <v>8560.0024473684207</v>
      </c>
      <c r="L33" s="3">
        <f>$L$21</f>
        <v>8560.0024473684207</v>
      </c>
    </row>
    <row r="34" spans="1:12">
      <c r="A34" s="4" t="s">
        <v>25</v>
      </c>
      <c r="B34" s="4" t="e">
        <f>IFERROR(IRR(B33:L33),NA())</f>
        <v>#N/A</v>
      </c>
    </row>
    <row r="35" spans="1:12">
      <c r="A35" s="4"/>
      <c r="B35" s="3"/>
    </row>
    <row r="36" spans="1:12">
      <c r="A36" t="s">
        <v>58</v>
      </c>
      <c r="B36" s="4">
        <v>0.2</v>
      </c>
    </row>
    <row r="37" spans="1:12">
      <c r="A37" t="s">
        <v>59</v>
      </c>
      <c r="B37" s="3">
        <f>$B$12*(1-B36)</f>
        <v>0</v>
      </c>
    </row>
    <row r="38" spans="1:12">
      <c r="A38" s="4" t="s">
        <v>60</v>
      </c>
      <c r="B38" s="3">
        <f>-B37</f>
        <v>0</v>
      </c>
      <c r="C38" s="3">
        <f>$C$21</f>
        <v>8560.0024473684207</v>
      </c>
      <c r="D38" s="3">
        <f>$D$21</f>
        <v>8560.0024473684207</v>
      </c>
      <c r="E38" s="3">
        <f>$E$21</f>
        <v>8560.0024473684207</v>
      </c>
      <c r="F38" s="3">
        <f>$F$21</f>
        <v>8560.0024473684207</v>
      </c>
      <c r="G38" s="3">
        <f>$G$21</f>
        <v>5560.0024473684207</v>
      </c>
      <c r="H38" s="3">
        <f>$H$21</f>
        <v>8560.0024473684207</v>
      </c>
      <c r="I38" s="3">
        <f>$I$21</f>
        <v>8560.0024473684207</v>
      </c>
      <c r="J38" s="3">
        <f>$J$21</f>
        <v>8560.0024473684207</v>
      </c>
      <c r="K38" s="3">
        <f>$K$21</f>
        <v>8560.0024473684207</v>
      </c>
      <c r="L38" s="3">
        <f>$L$21</f>
        <v>8560.0024473684207</v>
      </c>
    </row>
    <row r="39" spans="1:12">
      <c r="A39" s="4" t="s">
        <v>25</v>
      </c>
      <c r="B39" s="4" t="e">
        <f>IFERROR(IRR(B38:L38),NA())</f>
        <v>#N/A</v>
      </c>
    </row>
    <row r="41" spans="1:12">
      <c r="A41" t="s">
        <v>58</v>
      </c>
      <c r="B41" s="4">
        <v>0.25</v>
      </c>
    </row>
    <row r="42" spans="1:12">
      <c r="A42" t="s">
        <v>59</v>
      </c>
      <c r="B42" s="3">
        <f>$B$12*(1-B41)</f>
        <v>0</v>
      </c>
    </row>
    <row r="43" spans="1:12">
      <c r="A43" s="4" t="s">
        <v>60</v>
      </c>
      <c r="B43" s="3">
        <f>-B42</f>
        <v>0</v>
      </c>
      <c r="C43" s="3">
        <f>$C$21</f>
        <v>8560.0024473684207</v>
      </c>
      <c r="D43" s="3">
        <f>$D$21</f>
        <v>8560.0024473684207</v>
      </c>
      <c r="E43" s="3">
        <f>$E$21</f>
        <v>8560.0024473684207</v>
      </c>
      <c r="F43" s="3">
        <f>$F$21</f>
        <v>8560.0024473684207</v>
      </c>
      <c r="G43" s="3">
        <f>$G$21</f>
        <v>5560.0024473684207</v>
      </c>
      <c r="H43" s="3">
        <f>$H$21</f>
        <v>8560.0024473684207</v>
      </c>
      <c r="I43" s="3">
        <f>$I$21</f>
        <v>8560.0024473684207</v>
      </c>
      <c r="J43" s="3">
        <f>$J$21</f>
        <v>8560.0024473684207</v>
      </c>
      <c r="K43" s="3">
        <f>$K$21</f>
        <v>8560.0024473684207</v>
      </c>
      <c r="L43" s="3">
        <f>$L$21</f>
        <v>8560.0024473684207</v>
      </c>
    </row>
    <row r="44" spans="1:12">
      <c r="A44" s="4" t="s">
        <v>25</v>
      </c>
      <c r="B44" s="4" t="e">
        <f>IFERROR(IRR(B43:L43),NA())</f>
        <v>#N/A</v>
      </c>
    </row>
    <row r="46" spans="1:12">
      <c r="A46" t="s">
        <v>58</v>
      </c>
      <c r="B46" s="4">
        <v>0.3</v>
      </c>
    </row>
    <row r="47" spans="1:12">
      <c r="A47" t="s">
        <v>59</v>
      </c>
      <c r="B47" s="3">
        <f>$B$12*(1-B46)</f>
        <v>0</v>
      </c>
    </row>
    <row r="48" spans="1:12">
      <c r="A48" s="4" t="s">
        <v>60</v>
      </c>
      <c r="B48" s="3">
        <f>-B47</f>
        <v>0</v>
      </c>
      <c r="C48" s="3">
        <f>$C$21</f>
        <v>8560.0024473684207</v>
      </c>
      <c r="D48" s="3">
        <f>$D$21</f>
        <v>8560.0024473684207</v>
      </c>
      <c r="E48" s="3">
        <f>$E$21</f>
        <v>8560.0024473684207</v>
      </c>
      <c r="F48" s="3">
        <f>$F$21</f>
        <v>8560.0024473684207</v>
      </c>
      <c r="G48" s="3">
        <f>$G$21</f>
        <v>5560.0024473684207</v>
      </c>
      <c r="H48" s="3">
        <f>$H$21</f>
        <v>8560.0024473684207</v>
      </c>
      <c r="I48" s="3">
        <f>$I$21</f>
        <v>8560.0024473684207</v>
      </c>
      <c r="J48" s="3">
        <f>$J$21</f>
        <v>8560.0024473684207</v>
      </c>
      <c r="K48" s="3">
        <f>$K$21</f>
        <v>8560.0024473684207</v>
      </c>
      <c r="L48" s="3">
        <f>$L$21</f>
        <v>8560.0024473684207</v>
      </c>
    </row>
    <row r="49" spans="1:12">
      <c r="A49" s="4" t="s">
        <v>25</v>
      </c>
      <c r="B49" s="4" t="e">
        <f>IFERROR(IRR(B48:L48),NA())</f>
        <v>#N/A</v>
      </c>
    </row>
    <row r="51" spans="1:12">
      <c r="A51" t="s">
        <v>58</v>
      </c>
      <c r="B51" s="4">
        <v>0.35</v>
      </c>
    </row>
    <row r="52" spans="1:12">
      <c r="A52" t="s">
        <v>59</v>
      </c>
      <c r="B52" s="3">
        <f>$B$12*(1-B51)</f>
        <v>0</v>
      </c>
    </row>
    <row r="53" spans="1:12">
      <c r="A53" s="4" t="s">
        <v>60</v>
      </c>
      <c r="B53" s="3">
        <f>-B52</f>
        <v>0</v>
      </c>
      <c r="C53" s="3">
        <f>$C$21</f>
        <v>8560.0024473684207</v>
      </c>
      <c r="D53" s="3">
        <f>$D$21</f>
        <v>8560.0024473684207</v>
      </c>
      <c r="E53" s="3">
        <f>$E$21</f>
        <v>8560.0024473684207</v>
      </c>
      <c r="F53" s="3">
        <f>$F$21</f>
        <v>8560.0024473684207</v>
      </c>
      <c r="G53" s="3">
        <f>$G$21</f>
        <v>5560.0024473684207</v>
      </c>
      <c r="H53" s="3">
        <f>$H$21</f>
        <v>8560.0024473684207</v>
      </c>
      <c r="I53" s="3">
        <f>$I$21</f>
        <v>8560.0024473684207</v>
      </c>
      <c r="J53" s="3">
        <f>$J$21</f>
        <v>8560.0024473684207</v>
      </c>
      <c r="K53" s="3">
        <f>$K$21</f>
        <v>8560.0024473684207</v>
      </c>
      <c r="L53" s="3">
        <f>$L$21</f>
        <v>8560.0024473684207</v>
      </c>
    </row>
    <row r="54" spans="1:12">
      <c r="A54" s="4" t="s">
        <v>25</v>
      </c>
      <c r="B54" s="4" t="e">
        <f>IFERROR(IRR(B53:L53),NA())</f>
        <v>#N/A</v>
      </c>
    </row>
    <row r="56" spans="1:12">
      <c r="A56" t="s">
        <v>58</v>
      </c>
      <c r="B56" s="4">
        <v>0.4</v>
      </c>
    </row>
    <row r="57" spans="1:12">
      <c r="A57" t="s">
        <v>59</v>
      </c>
      <c r="B57" s="3">
        <f>$B$12*(1-B56)</f>
        <v>0</v>
      </c>
    </row>
    <row r="58" spans="1:12">
      <c r="A58" s="4" t="s">
        <v>60</v>
      </c>
      <c r="B58" s="3">
        <f>-B57</f>
        <v>0</v>
      </c>
      <c r="C58" s="3">
        <f>$C$21</f>
        <v>8560.0024473684207</v>
      </c>
      <c r="D58" s="3">
        <f>$D$21</f>
        <v>8560.0024473684207</v>
      </c>
      <c r="E58" s="3">
        <f>$E$21</f>
        <v>8560.0024473684207</v>
      </c>
      <c r="F58" s="3">
        <f>$F$21</f>
        <v>8560.0024473684207</v>
      </c>
      <c r="G58" s="3">
        <f>$G$21</f>
        <v>5560.0024473684207</v>
      </c>
      <c r="H58" s="3">
        <f>$H$21</f>
        <v>8560.0024473684207</v>
      </c>
      <c r="I58" s="3">
        <f>$I$21</f>
        <v>8560.0024473684207</v>
      </c>
      <c r="J58" s="3">
        <f>$J$21</f>
        <v>8560.0024473684207</v>
      </c>
      <c r="K58" s="3">
        <f>$K$21</f>
        <v>8560.0024473684207</v>
      </c>
      <c r="L58" s="3">
        <f>$L$21</f>
        <v>8560.0024473684207</v>
      </c>
    </row>
    <row r="59" spans="1:12">
      <c r="A59" s="4" t="s">
        <v>25</v>
      </c>
      <c r="B59" s="4" t="e">
        <f>IFERROR(IRR(B58:L58),NA())</f>
        <v>#N/A</v>
      </c>
    </row>
    <row r="61" spans="1:12">
      <c r="A61" t="s">
        <v>58</v>
      </c>
      <c r="B61" s="4">
        <v>0.45</v>
      </c>
    </row>
    <row r="62" spans="1:12">
      <c r="A62" t="s">
        <v>59</v>
      </c>
      <c r="B62" s="3">
        <f>$B$12*(1-B61)</f>
        <v>0</v>
      </c>
    </row>
    <row r="63" spans="1:12">
      <c r="A63" s="4" t="s">
        <v>60</v>
      </c>
      <c r="B63" s="3">
        <f>-B62</f>
        <v>0</v>
      </c>
      <c r="C63" s="3">
        <f>$C$21</f>
        <v>8560.0024473684207</v>
      </c>
      <c r="D63" s="3">
        <f>$D$21</f>
        <v>8560.0024473684207</v>
      </c>
      <c r="E63" s="3">
        <f>$E$21</f>
        <v>8560.0024473684207</v>
      </c>
      <c r="F63" s="3">
        <f>$F$21</f>
        <v>8560.0024473684207</v>
      </c>
      <c r="G63" s="3">
        <f>$G$21</f>
        <v>5560.0024473684207</v>
      </c>
      <c r="H63" s="3">
        <f>$H$21</f>
        <v>8560.0024473684207</v>
      </c>
      <c r="I63" s="3">
        <f>$I$21</f>
        <v>8560.0024473684207</v>
      </c>
      <c r="J63" s="3">
        <f>$J$21</f>
        <v>8560.0024473684207</v>
      </c>
      <c r="K63" s="3">
        <f>$K$21</f>
        <v>8560.0024473684207</v>
      </c>
      <c r="L63" s="3">
        <f>$L$21</f>
        <v>8560.0024473684207</v>
      </c>
    </row>
    <row r="64" spans="1:12">
      <c r="A64" s="4" t="s">
        <v>25</v>
      </c>
      <c r="B64" s="4" t="e">
        <f>IFERROR(IRR(B63:L63),NA())</f>
        <v>#N/A</v>
      </c>
    </row>
    <row r="66" spans="1:12">
      <c r="A66" t="s">
        <v>58</v>
      </c>
      <c r="B66" s="4">
        <v>0.5</v>
      </c>
    </row>
    <row r="67" spans="1:12">
      <c r="A67" t="s">
        <v>59</v>
      </c>
      <c r="B67" s="3">
        <f>$B$12*(1-B66)</f>
        <v>0</v>
      </c>
    </row>
    <row r="68" spans="1:12">
      <c r="A68" s="4" t="s">
        <v>60</v>
      </c>
      <c r="B68" s="3">
        <f>-B67</f>
        <v>0</v>
      </c>
      <c r="C68" s="3">
        <f>$C$21</f>
        <v>8560.0024473684207</v>
      </c>
      <c r="D68" s="3">
        <f>$D$21</f>
        <v>8560.0024473684207</v>
      </c>
      <c r="E68" s="3">
        <f>$E$21</f>
        <v>8560.0024473684207</v>
      </c>
      <c r="F68" s="3">
        <f>$F$21</f>
        <v>8560.0024473684207</v>
      </c>
      <c r="G68" s="3">
        <f>$G$21</f>
        <v>5560.0024473684207</v>
      </c>
      <c r="H68" s="3">
        <f>$H$21</f>
        <v>8560.0024473684207</v>
      </c>
      <c r="I68" s="3">
        <f>$I$21</f>
        <v>8560.0024473684207</v>
      </c>
      <c r="J68" s="3">
        <f>$J$21</f>
        <v>8560.0024473684207</v>
      </c>
      <c r="K68" s="3">
        <f>$K$21</f>
        <v>8560.0024473684207</v>
      </c>
      <c r="L68" s="3">
        <f>$L$21</f>
        <v>8560.0024473684207</v>
      </c>
    </row>
    <row r="69" spans="1:12">
      <c r="A69" s="4" t="s">
        <v>25</v>
      </c>
      <c r="B69" s="4" t="e">
        <f>IFERROR(IRR(B68:L68),NA())</f>
        <v>#N/A</v>
      </c>
    </row>
    <row r="71" spans="1:12">
      <c r="A71" t="s">
        <v>58</v>
      </c>
      <c r="B71" s="4">
        <v>0.55000000000000004</v>
      </c>
    </row>
    <row r="72" spans="1:12">
      <c r="A72" t="s">
        <v>59</v>
      </c>
      <c r="B72" s="3">
        <f>$B$12*(1-B71)</f>
        <v>0</v>
      </c>
    </row>
    <row r="73" spans="1:12">
      <c r="A73" s="4" t="s">
        <v>60</v>
      </c>
      <c r="B73" s="3">
        <f>-B72</f>
        <v>0</v>
      </c>
      <c r="C73" s="3">
        <f>$C$21</f>
        <v>8560.0024473684207</v>
      </c>
      <c r="D73" s="3">
        <f>$D$21</f>
        <v>8560.0024473684207</v>
      </c>
      <c r="E73" s="3">
        <f>$E$21</f>
        <v>8560.0024473684207</v>
      </c>
      <c r="F73" s="3">
        <f>$F$21</f>
        <v>8560.0024473684207</v>
      </c>
      <c r="G73" s="3">
        <f>$G$21</f>
        <v>5560.0024473684207</v>
      </c>
      <c r="H73" s="3">
        <f>$H$21</f>
        <v>8560.0024473684207</v>
      </c>
      <c r="I73" s="3">
        <f>$I$21</f>
        <v>8560.0024473684207</v>
      </c>
      <c r="J73" s="3">
        <f>$J$21</f>
        <v>8560.0024473684207</v>
      </c>
      <c r="K73" s="3">
        <f>$K$21</f>
        <v>8560.0024473684207</v>
      </c>
      <c r="L73" s="3">
        <f>$L$21</f>
        <v>8560.0024473684207</v>
      </c>
    </row>
    <row r="74" spans="1:12">
      <c r="A74" s="4" t="s">
        <v>25</v>
      </c>
      <c r="B74" s="4" t="e">
        <f>IFERROR(IRR(B73:L73),NA())</f>
        <v>#N/A</v>
      </c>
    </row>
    <row r="76" spans="1:12">
      <c r="A76" t="s">
        <v>58</v>
      </c>
      <c r="B76" s="4">
        <v>0.6</v>
      </c>
    </row>
    <row r="77" spans="1:12">
      <c r="A77" t="s">
        <v>59</v>
      </c>
      <c r="B77" s="3">
        <f>$B$12*(1-B76)</f>
        <v>0</v>
      </c>
    </row>
    <row r="78" spans="1:12">
      <c r="A78" s="4" t="s">
        <v>60</v>
      </c>
      <c r="B78" s="3">
        <f>-B77</f>
        <v>0</v>
      </c>
      <c r="C78" s="3">
        <f>$C$21</f>
        <v>8560.0024473684207</v>
      </c>
      <c r="D78" s="3">
        <f>$D$21</f>
        <v>8560.0024473684207</v>
      </c>
      <c r="E78" s="3">
        <f>$E$21</f>
        <v>8560.0024473684207</v>
      </c>
      <c r="F78" s="3">
        <f>$F$21</f>
        <v>8560.0024473684207</v>
      </c>
      <c r="G78" s="3">
        <f>$G$21</f>
        <v>5560.0024473684207</v>
      </c>
      <c r="H78" s="3">
        <f>$H$21</f>
        <v>8560.0024473684207</v>
      </c>
      <c r="I78" s="3">
        <f>$I$21</f>
        <v>8560.0024473684207</v>
      </c>
      <c r="J78" s="3">
        <f>$J$21</f>
        <v>8560.0024473684207</v>
      </c>
      <c r="K78" s="3">
        <f>$K$21</f>
        <v>8560.0024473684207</v>
      </c>
      <c r="L78" s="3">
        <f>$L$21</f>
        <v>8560.0024473684207</v>
      </c>
    </row>
    <row r="79" spans="1:12">
      <c r="A79" s="4" t="s">
        <v>25</v>
      </c>
      <c r="B79" s="4" t="e">
        <f>IFERROR(IRR(B78:L78),NA())</f>
        <v>#N/A</v>
      </c>
    </row>
    <row r="81" spans="1:12">
      <c r="A81" t="s">
        <v>58</v>
      </c>
      <c r="B81" s="4">
        <v>0.65</v>
      </c>
    </row>
    <row r="82" spans="1:12">
      <c r="A82" t="s">
        <v>59</v>
      </c>
      <c r="B82" s="3">
        <f>$B$12*(1-B81)</f>
        <v>0</v>
      </c>
    </row>
    <row r="83" spans="1:12">
      <c r="A83" s="4" t="s">
        <v>60</v>
      </c>
      <c r="B83" s="3">
        <f>-B82</f>
        <v>0</v>
      </c>
      <c r="C83" s="3">
        <f>$C$21</f>
        <v>8560.0024473684207</v>
      </c>
      <c r="D83" s="3">
        <f>$D$21</f>
        <v>8560.0024473684207</v>
      </c>
      <c r="E83" s="3">
        <f>$E$21</f>
        <v>8560.0024473684207</v>
      </c>
      <c r="F83" s="3">
        <f>$F$21</f>
        <v>8560.0024473684207</v>
      </c>
      <c r="G83" s="3">
        <f>$G$21</f>
        <v>5560.0024473684207</v>
      </c>
      <c r="H83" s="3">
        <f>$H$21</f>
        <v>8560.0024473684207</v>
      </c>
      <c r="I83" s="3">
        <f>$I$21</f>
        <v>8560.0024473684207</v>
      </c>
      <c r="J83" s="3">
        <f>$J$21</f>
        <v>8560.0024473684207</v>
      </c>
      <c r="K83" s="3">
        <f>$K$21</f>
        <v>8560.0024473684207</v>
      </c>
      <c r="L83" s="3">
        <f>$L$21</f>
        <v>8560.0024473684207</v>
      </c>
    </row>
    <row r="84" spans="1:12">
      <c r="A84" s="4" t="s">
        <v>25</v>
      </c>
      <c r="B84" s="4" t="e">
        <f>IFERROR(IRR(B83:L83),NA())</f>
        <v>#N/A</v>
      </c>
    </row>
    <row r="86" spans="1:12">
      <c r="A86" t="s">
        <v>58</v>
      </c>
      <c r="B86" s="4">
        <v>0.7</v>
      </c>
    </row>
    <row r="87" spans="1:12">
      <c r="A87" t="s">
        <v>59</v>
      </c>
      <c r="B87" s="3">
        <f>$B$12*(1-B86)</f>
        <v>0</v>
      </c>
    </row>
    <row r="88" spans="1:12">
      <c r="A88" s="4" t="s">
        <v>60</v>
      </c>
      <c r="B88" s="3">
        <f>-B87</f>
        <v>0</v>
      </c>
      <c r="C88" s="3">
        <f>$C$21</f>
        <v>8560.0024473684207</v>
      </c>
      <c r="D88" s="3">
        <f>$D$21</f>
        <v>8560.0024473684207</v>
      </c>
      <c r="E88" s="3">
        <f>$E$21</f>
        <v>8560.0024473684207</v>
      </c>
      <c r="F88" s="3">
        <f>$F$21</f>
        <v>8560.0024473684207</v>
      </c>
      <c r="G88" s="3">
        <f>$G$21</f>
        <v>5560.0024473684207</v>
      </c>
      <c r="H88" s="3">
        <f>$H$21</f>
        <v>8560.0024473684207</v>
      </c>
      <c r="I88" s="3">
        <f>$I$21</f>
        <v>8560.0024473684207</v>
      </c>
      <c r="J88" s="3">
        <f>$J$21</f>
        <v>8560.0024473684207</v>
      </c>
      <c r="K88" s="3">
        <f>$K$21</f>
        <v>8560.0024473684207</v>
      </c>
      <c r="L88" s="3">
        <f>$L$21</f>
        <v>8560.0024473684207</v>
      </c>
    </row>
    <row r="89" spans="1:12">
      <c r="A89" s="4" t="s">
        <v>25</v>
      </c>
      <c r="B89" s="4" t="e">
        <f>IFERROR(IRR(B88:L88),NA())</f>
        <v>#N/A</v>
      </c>
    </row>
    <row r="91" spans="1:12">
      <c r="A91" t="s">
        <v>58</v>
      </c>
      <c r="B91" s="4">
        <v>0.75</v>
      </c>
    </row>
    <row r="92" spans="1:12">
      <c r="A92" t="s">
        <v>59</v>
      </c>
      <c r="B92" s="3">
        <f>$B$12*(1-B91)</f>
        <v>0</v>
      </c>
    </row>
    <row r="93" spans="1:12">
      <c r="A93" s="4" t="s">
        <v>60</v>
      </c>
      <c r="B93" s="3">
        <f>-B92</f>
        <v>0</v>
      </c>
      <c r="C93" s="3">
        <f>$C$21</f>
        <v>8560.0024473684207</v>
      </c>
      <c r="D93" s="3">
        <f>$D$21</f>
        <v>8560.0024473684207</v>
      </c>
      <c r="E93" s="3">
        <f>$E$21</f>
        <v>8560.0024473684207</v>
      </c>
      <c r="F93" s="3">
        <f>$F$21</f>
        <v>8560.0024473684207</v>
      </c>
      <c r="G93" s="3">
        <f>$G$21</f>
        <v>5560.0024473684207</v>
      </c>
      <c r="H93" s="3">
        <f>$H$21</f>
        <v>8560.0024473684207</v>
      </c>
      <c r="I93" s="3">
        <f>$I$21</f>
        <v>8560.0024473684207</v>
      </c>
      <c r="J93" s="3">
        <f>$J$21</f>
        <v>8560.0024473684207</v>
      </c>
      <c r="K93" s="3">
        <f>$K$21</f>
        <v>8560.0024473684207</v>
      </c>
      <c r="L93" s="3">
        <f>$L$21</f>
        <v>8560.0024473684207</v>
      </c>
    </row>
    <row r="94" spans="1:12">
      <c r="A94" s="4" t="s">
        <v>25</v>
      </c>
      <c r="B94" s="4" t="e">
        <f>IFERROR(IRR(B93:L93),NA())</f>
        <v>#N/A</v>
      </c>
    </row>
    <row r="96" spans="1:12">
      <c r="A96" t="s">
        <v>58</v>
      </c>
      <c r="B96" s="4">
        <v>0.8</v>
      </c>
    </row>
    <row r="97" spans="1:12">
      <c r="A97" t="s">
        <v>59</v>
      </c>
      <c r="B97" s="3">
        <f>$B$12*(1-B96)</f>
        <v>0</v>
      </c>
    </row>
    <row r="98" spans="1:12">
      <c r="A98" s="4" t="s">
        <v>60</v>
      </c>
      <c r="B98" s="3">
        <f>-B97</f>
        <v>0</v>
      </c>
      <c r="C98" s="3">
        <f>$C$21</f>
        <v>8560.0024473684207</v>
      </c>
      <c r="D98" s="3">
        <f>$D$21</f>
        <v>8560.0024473684207</v>
      </c>
      <c r="E98" s="3">
        <f>$E$21</f>
        <v>8560.0024473684207</v>
      </c>
      <c r="F98" s="3">
        <f>$F$21</f>
        <v>8560.0024473684207</v>
      </c>
      <c r="G98" s="3">
        <f>$G$21</f>
        <v>5560.0024473684207</v>
      </c>
      <c r="H98" s="3">
        <f>$H$21</f>
        <v>8560.0024473684207</v>
      </c>
      <c r="I98" s="3">
        <f>$I$21</f>
        <v>8560.0024473684207</v>
      </c>
      <c r="J98" s="3">
        <f>$J$21</f>
        <v>8560.0024473684207</v>
      </c>
      <c r="K98" s="3">
        <f>$K$21</f>
        <v>8560.0024473684207</v>
      </c>
      <c r="L98" s="3">
        <f>$L$21</f>
        <v>8560.0024473684207</v>
      </c>
    </row>
    <row r="99" spans="1:12">
      <c r="A99" s="4" t="s">
        <v>25</v>
      </c>
      <c r="B99" s="4" t="e">
        <f>IFERROR(IRR(B98:L98),NA())</f>
        <v>#N/A</v>
      </c>
    </row>
    <row r="101" spans="1:12">
      <c r="A101" t="s">
        <v>58</v>
      </c>
      <c r="B101" s="4">
        <v>0.85</v>
      </c>
    </row>
    <row r="102" spans="1:12">
      <c r="A102" t="s">
        <v>59</v>
      </c>
      <c r="B102" s="3">
        <f>$B$12*(1-B101)</f>
        <v>0</v>
      </c>
    </row>
    <row r="103" spans="1:12">
      <c r="A103" s="4" t="s">
        <v>60</v>
      </c>
      <c r="B103" s="3">
        <f>-B102</f>
        <v>0</v>
      </c>
      <c r="C103" s="3">
        <f>$C$21</f>
        <v>8560.0024473684207</v>
      </c>
      <c r="D103" s="3">
        <f>$D$21</f>
        <v>8560.0024473684207</v>
      </c>
      <c r="E103" s="3">
        <f>$E$21</f>
        <v>8560.0024473684207</v>
      </c>
      <c r="F103" s="3">
        <f>$F$21</f>
        <v>8560.0024473684207</v>
      </c>
      <c r="G103" s="3">
        <f>$G$21</f>
        <v>5560.0024473684207</v>
      </c>
      <c r="H103" s="3">
        <f>$H$21</f>
        <v>8560.0024473684207</v>
      </c>
      <c r="I103" s="3">
        <f>$I$21</f>
        <v>8560.0024473684207</v>
      </c>
      <c r="J103" s="3">
        <f>$J$21</f>
        <v>8560.0024473684207</v>
      </c>
      <c r="K103" s="3">
        <f>$K$21</f>
        <v>8560.0024473684207</v>
      </c>
      <c r="L103" s="3">
        <f>$L$21</f>
        <v>8560.0024473684207</v>
      </c>
    </row>
    <row r="104" spans="1:12">
      <c r="A104" s="4" t="s">
        <v>25</v>
      </c>
      <c r="B104" s="4" t="e">
        <f>IFERROR(IRR(B103:L103),NA())</f>
        <v>#N/A</v>
      </c>
    </row>
    <row r="106" spans="1:12">
      <c r="A106" t="s">
        <v>58</v>
      </c>
      <c r="B106" s="4">
        <v>0.9</v>
      </c>
    </row>
    <row r="107" spans="1:12">
      <c r="A107" t="s">
        <v>59</v>
      </c>
      <c r="B107" s="3">
        <f>$B$12*(1-B106)</f>
        <v>0</v>
      </c>
    </row>
    <row r="108" spans="1:12">
      <c r="A108" s="4" t="s">
        <v>60</v>
      </c>
      <c r="B108" s="3">
        <f>-B107</f>
        <v>0</v>
      </c>
      <c r="C108" s="3">
        <f>$C$21</f>
        <v>8560.0024473684207</v>
      </c>
      <c r="D108" s="3">
        <f>$D$21</f>
        <v>8560.0024473684207</v>
      </c>
      <c r="E108" s="3">
        <f>$E$21</f>
        <v>8560.0024473684207</v>
      </c>
      <c r="F108" s="3">
        <f>$F$21</f>
        <v>8560.0024473684207</v>
      </c>
      <c r="G108" s="3">
        <f>$G$21</f>
        <v>5560.0024473684207</v>
      </c>
      <c r="H108" s="3">
        <f>$H$21</f>
        <v>8560.0024473684207</v>
      </c>
      <c r="I108" s="3">
        <f>$I$21</f>
        <v>8560.0024473684207</v>
      </c>
      <c r="J108" s="3">
        <f>$J$21</f>
        <v>8560.0024473684207</v>
      </c>
      <c r="K108" s="3">
        <f>$K$21</f>
        <v>8560.0024473684207</v>
      </c>
      <c r="L108" s="3">
        <f>$L$21</f>
        <v>8560.0024473684207</v>
      </c>
    </row>
    <row r="109" spans="1:12">
      <c r="A109" s="4" t="s">
        <v>25</v>
      </c>
      <c r="B109" s="4" t="e">
        <f>IFERROR(IRR(B108:L108),NA())</f>
        <v>#N/A</v>
      </c>
    </row>
    <row r="111" spans="1:12">
      <c r="A111" t="s">
        <v>58</v>
      </c>
      <c r="B111" s="4">
        <v>0.95</v>
      </c>
    </row>
    <row r="112" spans="1:12">
      <c r="A112" t="s">
        <v>59</v>
      </c>
      <c r="B112" s="3">
        <f>$B$12*(1-B111)</f>
        <v>0</v>
      </c>
    </row>
    <row r="113" spans="1:20">
      <c r="A113" s="4" t="s">
        <v>60</v>
      </c>
      <c r="B113" s="3">
        <f>-B112</f>
        <v>0</v>
      </c>
      <c r="C113" s="3">
        <f>$C$21</f>
        <v>8560.0024473684207</v>
      </c>
      <c r="D113" s="3">
        <f>$D$21</f>
        <v>8560.0024473684207</v>
      </c>
      <c r="E113" s="3">
        <f>$E$21</f>
        <v>8560.0024473684207</v>
      </c>
      <c r="F113" s="3">
        <f>$F$21</f>
        <v>8560.0024473684207</v>
      </c>
      <c r="G113" s="3">
        <f>$G$21</f>
        <v>5560.0024473684207</v>
      </c>
      <c r="H113" s="3">
        <f>$H$21</f>
        <v>8560.0024473684207</v>
      </c>
      <c r="I113" s="3">
        <f>$I$21</f>
        <v>8560.0024473684207</v>
      </c>
      <c r="J113" s="3">
        <f>$J$21</f>
        <v>8560.0024473684207</v>
      </c>
      <c r="K113" s="3">
        <f>$K$21</f>
        <v>8560.0024473684207</v>
      </c>
      <c r="L113" s="3">
        <f>$L$21</f>
        <v>8560.0024473684207</v>
      </c>
    </row>
    <row r="114" spans="1:20">
      <c r="A114" s="4" t="s">
        <v>25</v>
      </c>
      <c r="B114" s="4" t="e">
        <f>IFERROR(IRR(B113:L113),NA())</f>
        <v>#N/A</v>
      </c>
    </row>
    <row r="116" spans="1:20">
      <c r="A116" t="s">
        <v>58</v>
      </c>
      <c r="B116" s="4">
        <v>1</v>
      </c>
    </row>
    <row r="117" spans="1:20">
      <c r="A117" t="s">
        <v>59</v>
      </c>
      <c r="B117" s="3">
        <f>$B$12*(1-B116)</f>
        <v>0</v>
      </c>
    </row>
    <row r="118" spans="1:20">
      <c r="A118" s="4" t="s">
        <v>60</v>
      </c>
      <c r="B118" s="3">
        <f>-B117</f>
        <v>0</v>
      </c>
      <c r="C118" s="3">
        <f>$C$21</f>
        <v>8560.0024473684207</v>
      </c>
      <c r="D118" s="3">
        <f>$D$21</f>
        <v>8560.0024473684207</v>
      </c>
      <c r="E118" s="3">
        <f>$E$21</f>
        <v>8560.0024473684207</v>
      </c>
      <c r="F118" s="3">
        <f>$F$21</f>
        <v>8560.0024473684207</v>
      </c>
      <c r="G118" s="3">
        <f>$G$21</f>
        <v>5560.0024473684207</v>
      </c>
      <c r="H118" s="3">
        <f>$H$21</f>
        <v>8560.0024473684207</v>
      </c>
      <c r="I118" s="3">
        <f>$I$21</f>
        <v>8560.0024473684207</v>
      </c>
      <c r="J118" s="3">
        <f>$J$21</f>
        <v>8560.0024473684207</v>
      </c>
      <c r="K118" s="3">
        <f>$K$21</f>
        <v>8560.0024473684207</v>
      </c>
      <c r="L118" s="3">
        <f>$L$21</f>
        <v>8560.0024473684207</v>
      </c>
    </row>
    <row r="119" spans="1:20">
      <c r="A119" s="4" t="s">
        <v>25</v>
      </c>
      <c r="B119" s="4" t="e">
        <f>IFERROR(IRR(B118:L118),NA())</f>
        <v>#N/A</v>
      </c>
    </row>
    <row r="122" spans="1:20">
      <c r="A122" t="s">
        <v>61</v>
      </c>
    </row>
    <row r="123" spans="1:20">
      <c r="B123" s="4">
        <v>0.1</v>
      </c>
      <c r="C123" s="4">
        <v>0.15</v>
      </c>
      <c r="D123" s="4">
        <v>0.2</v>
      </c>
      <c r="E123" s="4">
        <v>0.25</v>
      </c>
      <c r="F123" s="4">
        <v>0.3</v>
      </c>
      <c r="G123" s="4">
        <v>0.35</v>
      </c>
      <c r="H123" s="4">
        <v>0.4</v>
      </c>
      <c r="I123" s="4">
        <v>0.45</v>
      </c>
      <c r="J123" s="4">
        <v>0.5</v>
      </c>
      <c r="K123" s="4">
        <v>0.55000000000000004</v>
      </c>
      <c r="L123" s="4">
        <v>0.6</v>
      </c>
      <c r="M123" s="4">
        <v>0.65</v>
      </c>
      <c r="N123" s="4">
        <v>0.7</v>
      </c>
      <c r="O123" s="4">
        <v>0.75</v>
      </c>
      <c r="P123" s="4">
        <v>0.8</v>
      </c>
      <c r="Q123" s="4">
        <v>0.85</v>
      </c>
      <c r="R123" s="4">
        <v>0.9</v>
      </c>
      <c r="S123" s="4">
        <v>0.95</v>
      </c>
      <c r="T123" s="4">
        <v>1</v>
      </c>
    </row>
    <row r="124" spans="1:20">
      <c r="B124" s="4" t="e">
        <f>B29</f>
        <v>#N/A</v>
      </c>
      <c r="C124" s="4" t="e">
        <f>B34</f>
        <v>#N/A</v>
      </c>
      <c r="D124" s="4" t="e">
        <f>B39</f>
        <v>#N/A</v>
      </c>
      <c r="E124" s="4" t="e">
        <f>B44</f>
        <v>#N/A</v>
      </c>
      <c r="F124" s="4" t="e">
        <f>B49</f>
        <v>#N/A</v>
      </c>
      <c r="G124" s="4" t="e">
        <f>B54</f>
        <v>#N/A</v>
      </c>
      <c r="H124" s="4" t="e">
        <f>B59</f>
        <v>#N/A</v>
      </c>
      <c r="I124" s="4" t="e">
        <f>B64</f>
        <v>#N/A</v>
      </c>
      <c r="J124" s="4" t="e">
        <f>B69</f>
        <v>#N/A</v>
      </c>
      <c r="K124" s="4" t="e">
        <f>B74</f>
        <v>#N/A</v>
      </c>
      <c r="L124" s="4" t="e">
        <f>B79</f>
        <v>#N/A</v>
      </c>
      <c r="M124" s="4" t="e">
        <f>B84</f>
        <v>#N/A</v>
      </c>
      <c r="N124" s="4" t="e">
        <f>B89</f>
        <v>#N/A</v>
      </c>
      <c r="O124" s="4" t="e">
        <f>B94</f>
        <v>#N/A</v>
      </c>
      <c r="P124" s="4" t="e">
        <f>B99</f>
        <v>#N/A</v>
      </c>
      <c r="Q124" s="4" t="e">
        <f>B104</f>
        <v>#N/A</v>
      </c>
      <c r="R124" s="4" t="e">
        <f>B109</f>
        <v>#N/A</v>
      </c>
      <c r="S124" s="4" t="e">
        <f>B114</f>
        <v>#N/A</v>
      </c>
      <c r="T124" s="4" t="e">
        <f>B119</f>
        <v>#N/A</v>
      </c>
    </row>
    <row r="125" spans="1:20">
      <c r="A125" t="s">
        <v>62</v>
      </c>
      <c r="B125" s="4" t="e">
        <f>LOOKUP('IRR inputs &amp; outputs'!B18, B124:P124, B123:P123)</f>
        <v>#N/A</v>
      </c>
    </row>
    <row r="126" spans="1:20">
      <c r="A126" t="s">
        <v>63</v>
      </c>
      <c r="B126" s="4" t="e">
        <f>LOOKUP('IRR inputs &amp; outputs'!B19, B124:P124, B123:P123)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9AD6D67C59D4FBD512C3238A0741A" ma:contentTypeVersion="10" ma:contentTypeDescription="Create a new document." ma:contentTypeScope="" ma:versionID="9ea1e06bc53946979acaf442985eec99">
  <xsd:schema xmlns:xsd="http://www.w3.org/2001/XMLSchema" xmlns:xs="http://www.w3.org/2001/XMLSchema" xmlns:p="http://schemas.microsoft.com/office/2006/metadata/properties" xmlns:ns2="6513c387-3001-45ed-8b3d-01bcd9f9e9a5" xmlns:ns3="1f55772e-aca1-4d1d-8604-2b24c6b07dc0" targetNamespace="http://schemas.microsoft.com/office/2006/metadata/properties" ma:root="true" ma:fieldsID="6c15d72493b065bd27974a15cd3ea905" ns2:_="" ns3:_="">
    <xsd:import namespace="6513c387-3001-45ed-8b3d-01bcd9f9e9a5"/>
    <xsd:import namespace="1f55772e-aca1-4d1d-8604-2b24c6b07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c387-3001-45ed-8b3d-01bcd9f9e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5772e-aca1-4d1d-8604-2b24c6b07d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daf079-74e5-4bcc-b4ba-5e00459e73a2}" ma:internalName="TaxCatchAll" ma:showField="CatchAllData" ma:web="1f55772e-aca1-4d1d-8604-2b24c6b07d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13c387-3001-45ed-8b3d-01bcd9f9e9a5">
      <Terms xmlns="http://schemas.microsoft.com/office/infopath/2007/PartnerControls"/>
    </lcf76f155ced4ddcb4097134ff3c332f>
    <TaxCatchAll xmlns="1f55772e-aca1-4d1d-8604-2b24c6b07dc0" xsi:nil="true"/>
  </documentManagement>
</p:properties>
</file>

<file path=customXml/itemProps1.xml><?xml version="1.0" encoding="utf-8"?>
<ds:datastoreItem xmlns:ds="http://schemas.openxmlformats.org/officeDocument/2006/customXml" ds:itemID="{CA00D08F-0C37-4856-8DD0-A7F20D0C4FB9}"/>
</file>

<file path=customXml/itemProps2.xml><?xml version="1.0" encoding="utf-8"?>
<ds:datastoreItem xmlns:ds="http://schemas.openxmlformats.org/officeDocument/2006/customXml" ds:itemID="{5460B2C0-9353-42AC-BFE4-04B779153833}"/>
</file>

<file path=customXml/itemProps3.xml><?xml version="1.0" encoding="utf-8"?>
<ds:datastoreItem xmlns:ds="http://schemas.openxmlformats.org/officeDocument/2006/customXml" ds:itemID="{3AA738EA-AD93-4004-A6D9-C5099791F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Bjorn Sturmberg</dc:creator>
  <cp:keywords/>
  <dc:description/>
  <cp:lastModifiedBy/>
  <cp:revision/>
  <dcterms:created xsi:type="dcterms:W3CDTF">2015-06-05T18:17:20Z</dcterms:created>
  <dcterms:modified xsi:type="dcterms:W3CDTF">2026-05-06T01:33:39Z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0x0101000B59AD6D67C59D4FBD512C3238A0741A</vt:lpwstr>
  </property>
  <property fmtid="{D5CDD505-2E9C-101B-9397-08002B2CF9AE}" pid="3" name="MediaServiceImageTags">
    <vt:lpwstr/>
  </property>
</Properties>
</file>